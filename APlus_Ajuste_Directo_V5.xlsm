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vbaProject.bin" ContentType="application/vnd.ms-office.vbaProject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2" activeTab="2"/>
  </bookViews>
  <sheets>
    <sheet name="_Cod" sheetId="1" state="hidden" r:id="rId3"/>
    <sheet name="_UF_Data" sheetId="2" state="hidden" r:id="rId4"/>
    <sheet name="Pérdida Directo" sheetId="3" state="visible" r:id="rId5"/>
    <sheet name="📋 Instrucciones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<sst xmlns="http://schemas.openxmlformats.org/spreadsheetml/2006/main" count="268" uniqueCount="213">
  <si>
    <t xml:space="preserve">Código</t>
  </si>
  <si>
    <t xml:space="preserve">Categoría</t>
  </si>
  <si>
    <t xml:space="preserve">Tipo</t>
  </si>
  <si>
    <t xml:space="preserve">Texto Observación</t>
  </si>
  <si>
    <t xml:space="preserve">Fundamento</t>
  </si>
  <si>
    <t xml:space="preserve">V1</t>
  </si>
  <si>
    <t xml:space="preserve">Valorización</t>
  </si>
  <si>
    <t xml:space="preserve">Costo de mercado</t>
  </si>
  <si>
    <t xml:space="preserve">Se ha ajustado el presupuesto a valores reales y actuales de mercado, considerando la naturaleza de las partidas afectadas, su alcance efectivo y la ubicación del inmueble asegurado.</t>
  </si>
  <si>
    <t xml:space="preserve">DFL N°251</t>
  </si>
  <si>
    <t xml:space="preserve">V2</t>
  </si>
  <si>
    <t xml:space="preserve">Ajuste de costos</t>
  </si>
  <si>
    <t xml:space="preserve">El valor reclamado ha sido ajustado conforme a precios unitarios de mercado vigentes a la fecha del siniestro, descartando sobrecostos no justificados.</t>
  </si>
  <si>
    <t xml:space="preserve">Análisis técnico</t>
  </si>
  <si>
    <t xml:space="preserve">V3</t>
  </si>
  <si>
    <t xml:space="preserve">Restitución</t>
  </si>
  <si>
    <t xml:space="preserve">Se ajusta el monto reclamado al valor técnicamente necesario para restituir el bien a su estado anterior al siniestro, sin incorporar mejoras ni ampliaciones.</t>
  </si>
  <si>
    <t xml:space="preserve">V4</t>
  </si>
  <si>
    <t xml:space="preserve">Comparativo</t>
  </si>
  <si>
    <t xml:space="preserve">Se ha validado el costo de reparación mediante análisis comparativo de presupuestos y precios unitarios de referencia del rubro construcción.</t>
  </si>
  <si>
    <t xml:space="preserve">Criterio técnico</t>
  </si>
  <si>
    <t xml:space="preserve">V5</t>
  </si>
  <si>
    <t xml:space="preserve">Exclusión de cargos</t>
  </si>
  <si>
    <t xml:space="preserve">El monto indemnizable se ha determinado en base a costos directos, excluyendo gastos generales, utilidades u otros cargos no contemplados en la cobertura.</t>
  </si>
  <si>
    <t xml:space="preserve">Condiciones de póliza</t>
  </si>
  <si>
    <t xml:space="preserve">D1</t>
  </si>
  <si>
    <t xml:space="preserve">Depreciación</t>
  </si>
  <si>
    <t xml:space="preserve">Vida útil</t>
  </si>
  <si>
    <t xml:space="preserve">Se aplica depreciación técnica debido a la antigüedad, estado de conservación y vida útil remanente de los bienes afectados.</t>
  </si>
  <si>
    <t xml:space="preserve">D2</t>
  </si>
  <si>
    <t xml:space="preserve">La depreciación aplicada se encuentra acorde a criterios técnicos de ingeniería y uso normal del bien, conforme a su antigüedad y mantención observable.</t>
  </si>
  <si>
    <t xml:space="preserve">Informe técnico</t>
  </si>
  <si>
    <t xml:space="preserve">D3</t>
  </si>
  <si>
    <t xml:space="preserve">Sin depreciación</t>
  </si>
  <si>
    <t xml:space="preserve">No se aplica depreciación, atendido que los bienes afectados presentan una vida útil vigente y adecuado estado de conservación previo al siniestro.</t>
  </si>
  <si>
    <t xml:space="preserve">D4</t>
  </si>
  <si>
    <t xml:space="preserve">Alcance</t>
  </si>
  <si>
    <t xml:space="preserve">La depreciación aplicada corresponde exclusivamente a los elementos dañados, no extendiéndose a partidas no afectadas por el evento.</t>
  </si>
  <si>
    <t xml:space="preserve">Principio de causalidad</t>
  </si>
  <si>
    <t xml:space="preserve">C1</t>
  </si>
  <si>
    <t xml:space="preserve">Cobertura</t>
  </si>
  <si>
    <t xml:space="preserve">Amparado</t>
  </si>
  <si>
    <t xml:space="preserve">La partida reclamada se encuentra amparada por la póliza, conforme a condiciones generales y particulares vigentes a la fecha del siniestro.</t>
  </si>
  <si>
    <t xml:space="preserve">Contrato de seguro</t>
  </si>
  <si>
    <t xml:space="preserve">C2</t>
  </si>
  <si>
    <t xml:space="preserve">Exclusión</t>
  </si>
  <si>
    <t xml:space="preserve">El daño reclamado no cuenta con cobertura, al corresponder a un riesgo excluido según lo establecido en las condiciones generales de la póliza.</t>
  </si>
  <si>
    <t xml:space="preserve">Condiciones generales</t>
  </si>
  <si>
    <t xml:space="preserve">C3</t>
  </si>
  <si>
    <t xml:space="preserve">Limitación</t>
  </si>
  <si>
    <t xml:space="preserve">La cobertura se limita al alcance expresamente señalado en la póliza, ajustándose el monto reclamado a dicho marco contractual.</t>
  </si>
  <si>
    <t xml:space="preserve">Condiciones particulares</t>
  </si>
  <si>
    <t xml:space="preserve">C4</t>
  </si>
  <si>
    <t xml:space="preserve">Sublímite</t>
  </si>
  <si>
    <t xml:space="preserve">El ajuste considera la aplicación de sublímites contractuales establecidos para esta cobertura específica.</t>
  </si>
  <si>
    <t xml:space="preserve">C5</t>
  </si>
  <si>
    <t xml:space="preserve">Deducible</t>
  </si>
  <si>
    <t xml:space="preserve">Se aplica deducible conforme a lo estipulado en las condiciones particulares de la póliza.</t>
  </si>
  <si>
    <t xml:space="preserve">A1</t>
  </si>
  <si>
    <t xml:space="preserve">Causalidad</t>
  </si>
  <si>
    <t xml:space="preserve">Solo se consideran como indemnizables los daños que guardan relación directa y causal con el evento denunciado.</t>
  </si>
  <si>
    <t xml:space="preserve">A2</t>
  </si>
  <si>
    <t xml:space="preserve">Deterioro previo</t>
  </si>
  <si>
    <t xml:space="preserve">Se descartan partidas que corresponden a deterioro previo, desgaste natural o falta de mantención.</t>
  </si>
  <si>
    <t xml:space="preserve">Exclusiones técnicas</t>
  </si>
  <si>
    <t xml:space="preserve">A3</t>
  </si>
  <si>
    <t xml:space="preserve">Daño parcial</t>
  </si>
  <si>
    <t xml:space="preserve">El daño observado es parcial, por lo que el ajuste se limita exclusivamente a las áreas efectivamente afectadas.</t>
  </si>
  <si>
    <t xml:space="preserve">A4</t>
  </si>
  <si>
    <t xml:space="preserve">Sin daño</t>
  </si>
  <si>
    <t xml:space="preserve">No se evidencia daño atribuible al siniestro en la partida reclamada, motivo por el cual se rechaza su inclusión en el ajuste.</t>
  </si>
  <si>
    <t xml:space="preserve">T1</t>
  </si>
  <si>
    <t xml:space="preserve">Técnico</t>
  </si>
  <si>
    <t xml:space="preserve">Solución equivalente</t>
  </si>
  <si>
    <t xml:space="preserve">El ajuste se realiza considerando soluciones constructivas equivalentes a las existentes antes del siniestro.</t>
  </si>
  <si>
    <t xml:space="preserve">Criterio constructivo</t>
  </si>
  <si>
    <t xml:space="preserve">T2</t>
  </si>
  <si>
    <t xml:space="preserve">Mejora no cubierta</t>
  </si>
  <si>
    <t xml:space="preserve">No se consideran soluciones constructivas superiores o de mejor estándar a las originalmente instaladas.</t>
  </si>
  <si>
    <t xml:space="preserve">T3</t>
  </si>
  <si>
    <t xml:space="preserve">Preexistencia</t>
  </si>
  <si>
    <t xml:space="preserve">El daño identificado corresponde a una falla estructural preexistente, no atribuible al evento denunciado.</t>
  </si>
  <si>
    <t xml:space="preserve">T4</t>
  </si>
  <si>
    <t xml:space="preserve">Normativa</t>
  </si>
  <si>
    <t xml:space="preserve">Las reparaciones consideradas cumplen con la normativa técnica y constructiva vigente aplicable al tipo de edificación.</t>
  </si>
  <si>
    <t xml:space="preserve">Normativa vigente</t>
  </si>
  <si>
    <t xml:space="preserve">R1</t>
  </si>
  <si>
    <t xml:space="preserve">Respaldo</t>
  </si>
  <si>
    <t xml:space="preserve">Documentación</t>
  </si>
  <si>
    <t xml:space="preserve">El monto ajustado se determina en base a antecedentes documentales y técnicos suficientes y verificables.</t>
  </si>
  <si>
    <t xml:space="preserve">DS N°1055</t>
  </si>
  <si>
    <t xml:space="preserve">R2</t>
  </si>
  <si>
    <t xml:space="preserve">Falta respaldo</t>
  </si>
  <si>
    <t xml:space="preserve">Parte del monto reclamado no cuenta con respaldo documental válido, por lo que no se considera en el ajuste.</t>
  </si>
  <si>
    <t xml:space="preserve">R3</t>
  </si>
  <si>
    <t xml:space="preserve">Solicitud info</t>
  </si>
  <si>
    <t xml:space="preserve">Se solicita mayor respaldo técnico y/o documental para validar la totalidad de la partida reclamada.</t>
  </si>
  <si>
    <t xml:space="preserve">Proc. liquidación</t>
  </si>
  <si>
    <t xml:space="preserve">R4</t>
  </si>
  <si>
    <t xml:space="preserve">Inconsistencia</t>
  </si>
  <si>
    <t xml:space="preserve">La valorización presentada por el asegurado no permite verificar técnicamente el alcance del daño reclamado.</t>
  </si>
  <si>
    <t xml:space="preserve">I1</t>
  </si>
  <si>
    <t xml:space="preserve">Indemnización</t>
  </si>
  <si>
    <t xml:space="preserve">Principio indemnizatorio</t>
  </si>
  <si>
    <t xml:space="preserve">El monto indemnizable se determina conforme al principio indemnizatorio, sin generar enriquecimiento indebido del asegurado.</t>
  </si>
  <si>
    <t xml:space="preserve">I2</t>
  </si>
  <si>
    <t xml:space="preserve">Valor real</t>
  </si>
  <si>
    <t xml:space="preserve">El ajuste considera el valor real del daño, conforme a lo establecido en el DFL N°251.</t>
  </si>
  <si>
    <t xml:space="preserve">I3</t>
  </si>
  <si>
    <t xml:space="preserve">Procedimiento</t>
  </si>
  <si>
    <t xml:space="preserve">La liquidación se efectúa en cumplimiento de los plazos y procedimientos establecidos en el DS N°1055.</t>
  </si>
  <si>
    <t xml:space="preserve">I4</t>
  </si>
  <si>
    <t xml:space="preserve">Imparcialidad</t>
  </si>
  <si>
    <t xml:space="preserve">El presente ajuste es técnico y objetivo, efectuado con total independencia conforme a la normativa vigente.</t>
  </si>
  <si>
    <t xml:space="preserve">F1</t>
  </si>
  <si>
    <t xml:space="preserve">Cierre</t>
  </si>
  <si>
    <t xml:space="preserve">Cierre técnico</t>
  </si>
  <si>
    <t xml:space="preserve">Con los antecedentes disponibles, se da por concluido el proceso de ajuste de la partida indicada.</t>
  </si>
  <si>
    <t xml:space="preserve">F2</t>
  </si>
  <si>
    <t xml:space="preserve">Revisión</t>
  </si>
  <si>
    <t xml:space="preserve">El ajuste queda sujeto a revisión en caso de presentarse nuevos antecedentes técnicos relevantes.</t>
  </si>
  <si>
    <t xml:space="preserve">CMF</t>
  </si>
  <si>
    <t xml:space="preserve">F3</t>
  </si>
  <si>
    <t xml:space="preserve">Recomendación</t>
  </si>
  <si>
    <t xml:space="preserve">El monto indicado corresponde a la recomendación de indemnización del liquidador.</t>
  </si>
  <si>
    <t xml:space="preserve">DATOS UF – Actualizado por Power Query desde mindicador.cl</t>
  </si>
  <si>
    <t xml:space="preserve">Campo</t>
  </si>
  <si>
    <t xml:space="preserve">Valor</t>
  </si>
  <si>
    <t xml:space="preserve">Descripción</t>
  </si>
  <si>
    <t xml:space="preserve">fecha</t>
  </si>
  <si>
    <t xml:space="preserve">(Power Query la llena)</t>
  </si>
  <si>
    <t xml:space="preserve">Fecha del siniestro consultada</t>
  </si>
  <si>
    <t xml:space="preserve">valor</t>
  </si>
  <si>
    <t xml:space="preserve">Valor UF en pesos chilenos → usado por las hojas de ajuste via =_UF_Data!B3</t>
  </si>
  <si>
    <t xml:space="preserve">INSTRUCCIONES PARA CONFIGURAR POWER QUERY:</t>
  </si>
  <si>
    <t xml:space="preserve">1. Vaya a Datos → Obtener datos → De otras fuentes → Desde la web</t>
  </si>
  <si>
    <t xml:space="preserve">2. URL: https://mindicador.cl/api/uf/  [añada la fecha en formato DD-MM-AAAA]</t>
  </si>
  <si>
    <t xml:space="preserve">   Ejemplo: https://mindicador.cl/api/uf/02-08-2024</t>
  </si>
  <si>
    <t xml:space="preserve">3. En el editor Power Query, expanda el campo 'serie' → seleccione 'fecha' y 'valor'</t>
  </si>
  <si>
    <t xml:space="preserve">4. Cargue los datos EN ESTA HOJA (_UF_Data), comenzando en celda A2</t>
  </si>
  <si>
    <t xml:space="preserve">5. Para actualizar: cambie la URL con la nueva fecha y haga Datos → Actualizar todo</t>
  </si>
  <si>
    <t xml:space="preserve">   → El valor en B3 se actualizará automáticamente en todas las hojas de ajuste</t>
  </si>
  <si>
    <t xml:space="preserve">A PLUS AJUSTADORES SpA</t>
  </si>
  <si>
    <t xml:space="preserve">Marchant Pereira N° 367, Of. 204, Providencia, Santiago</t>
  </si>
  <si>
    <t xml:space="preserve">+56 2 2 484 1515  |  aplusajustadores.cl</t>
  </si>
  <si>
    <t xml:space="preserve">AJUSTE DE PÉRDIDAS DIRECTO</t>
  </si>
  <si>
    <t xml:space="preserve">Liquidador:</t>
  </si>
  <si>
    <t xml:space="preserve">N° Siniestro:</t>
  </si>
  <si>
    <t xml:space="preserve">Asegurado / Cliente:</t>
  </si>
  <si>
    <t xml:space="preserve">N° Póliza:</t>
  </si>
  <si>
    <t xml:space="preserve">Dirección del Riesgo:</t>
  </si>
  <si>
    <t xml:space="preserve">N° Liquidación:</t>
  </si>
  <si>
    <t xml:space="preserve">Fecha del Siniestro:</t>
  </si>
  <si>
    <t xml:space="preserve">Evento / Causa:</t>
  </si>
  <si>
    <t xml:space="preserve">Fecha Siniestro (UF):</t>
  </si>
  <si>
    <t xml:space="preserve">← Ingrese fecha, luego  Datos → Actualizar todo</t>
  </si>
  <si>
    <t xml:space="preserve">Valor UF ($):</t>
  </si>
  <si>
    <t xml:space="preserve">★ Datos → Actualizar todo</t>
  </si>
  <si>
    <t xml:space="preserve">RECLAMO DE PÉRDIDAS</t>
  </si>
  <si>
    <t xml:space="preserve">AJUSTE RECOMENDADO</t>
  </si>
  <si>
    <t xml:space="preserve">Ítem</t>
  </si>
  <si>
    <t xml:space="preserve">#</t>
  </si>
  <si>
    <t xml:space="preserve">Descripción de la Partida</t>
  </si>
  <si>
    <t xml:space="preserve">Cant.</t>
  </si>
  <si>
    <t xml:space="preserve">Unidad</t>
  </si>
  <si>
    <t xml:space="preserve">Valor
Unit. ($)</t>
  </si>
  <si>
    <t xml:space="preserve">Total
Reclamo ($)</t>
  </si>
  <si>
    <t xml:space="preserve">Total
Ajuste ($)</t>
  </si>
  <si>
    <t xml:space="preserve">Dep.
%</t>
  </si>
  <si>
    <t xml:space="preserve">Total
Ajustado ($)</t>
  </si>
  <si>
    <t xml:space="preserve">Cód.
Obs.</t>
  </si>
  <si>
    <t xml:space="preserve">Observación Técnica (automática)</t>
  </si>
  <si>
    <t xml:space="preserve">Costo Directo de Obra ($)</t>
  </si>
  <si>
    <t xml:space="preserve">Gastos Generales y Utilidad (25%)</t>
  </si>
  <si>
    <t xml:space="preserve">Valor de Obra ($)</t>
  </si>
  <si>
    <t xml:space="preserve">IVA (19%)</t>
  </si>
  <si>
    <t xml:space="preserve">Valor Total ($)</t>
  </si>
  <si>
    <t xml:space="preserve">Valor Total (UF)</t>
  </si>
  <si>
    <t xml:space="preserve">(–) Deducible Aplicable (UF)</t>
  </si>
  <si>
    <t xml:space="preserve">PÉRDIDA INDEMNIZABLE (UF)</t>
  </si>
  <si>
    <t xml:space="preserve">* Valor UF obtenido desde mindicador.cl/api vía Power Query. Vaya a Datos → Actualizar todo para refrescar el valor según la fecha del siniestro.</t>
  </si>
  <si>
    <t xml:space="preserve">OBSERVACIONES GENERALES AL AJUSTE</t>
  </si>
  <si>
    <t xml:space="preserve">A Plus Ajustadores SpA  |  aplusajustadores.cl  |  +56 2 2 484 1515</t>
  </si>
  <si>
    <t xml:space="preserve">INSTRUCCIONES DE USO – PLANILLA DE AJUSTE DE PÉRDIDAS</t>
  </si>
  <si>
    <t xml:space="preserve">🔷 1.  DATOS DEL SINIESTRO</t>
  </si>
  <si>
    <t xml:space="preserve">    Complete los campos del encabezado: Liquidador, Asegurado, Dirección, Fecha, N° Siniestro, Póliza, Liquidación y Evento.</t>
  </si>
  <si>
    <t xml:space="preserve">🔷 2.  VALOR DE LA UF (Power Query)</t>
  </si>
  <si>
    <t xml:space="preserve">    a) Ingrese la fecha del siniestro en la celda E15 (formato DD-MM-AAAA).</t>
  </si>
  <si>
    <t xml:space="preserve">    b) Vaya a Datos → Actualizar todo. El valor UF se actualiza automáticamente desde mindicador.cl.</t>
  </si>
  <si>
    <t xml:space="preserve">    c) Si no tiene conexión, ingrese el valor manualmente en N15.</t>
  </si>
  <si>
    <t xml:space="preserve">    d) Configuración inicial: vea la hoja '_UF_Data' (oculta) para instrucciones de Power Query.</t>
  </si>
  <si>
    <t xml:space="preserve">🔷 3.  INGRESO DE PARTIDAS</t>
  </si>
  <si>
    <t xml:space="preserve">    Complete Ítem, Descripción, Cantidad, Unidad y Valor Unitario tanto en Reclamo como en Ajuste.</t>
  </si>
  <si>
    <t xml:space="preserve">    Los totales (columna H y M) se calculan automáticamente.</t>
  </si>
  <si>
    <t xml:space="preserve">    En la columna Dep. % ingrese el porcentaje de depreciación (ej: 5% → escriba 0.05 o 5%).</t>
  </si>
  <si>
    <t xml:space="preserve">    El Total Ajustado (col. O) descuenta la depreciación automáticamente.</t>
  </si>
  <si>
    <t xml:space="preserve">🔷 4.  OBSERVACIONES AUTOMÁTICAS</t>
  </si>
  <si>
    <t xml:space="preserve">    En la columna Q (Cód. Obs.) ingrese el código correspondiente (ej: V1, D2, C3, A1, T2…).</t>
  </si>
  <si>
    <t xml:space="preserve">    El texto completo aparece automáticamente en la columna R.</t>
  </si>
  <si>
    <t xml:space="preserve">    Use la lista desplegable para ver todos los códigos disponibles.</t>
  </si>
  <si>
    <t xml:space="preserve">🔷 5.  DEDUCIBLE Y PÉRDIDA INDEMNIZABLE</t>
  </si>
  <si>
    <t xml:space="preserve">    En la celda O74 de cada hoja, ingrese el deducible en UF.</t>
  </si>
  <si>
    <t xml:space="preserve">    La Pérdida Indemnizable se calcula restando el deducible al total en UF.</t>
  </si>
  <si>
    <t xml:space="preserve">🔷 6.  EXPORTAR CARTA DE AJUSTE (Word + PDF)</t>
  </si>
  <si>
    <t xml:space="preserve">    Hoja 'Resumen de Pérdidas' → botón 'Generar Carta de Ajuste'.</t>
  </si>
  <si>
    <t xml:space="preserve">    El sistema genera un documento Word (.docx) con logo, datos del siniestro, tabla y observaciones.</t>
  </si>
  <si>
    <t xml:space="preserve">    El Word puede editarse antes de enviar. También se genera una versión PDF.</t>
  </si>
  <si>
    <t xml:space="preserve">    Nota: requiere tener instalado Word y habilitar macros (guardar como .xlsm).</t>
  </si>
  <si>
    <t xml:space="preserve">🔷 REFERENCIA DE COLORES</t>
  </si>
  <si>
    <t xml:space="preserve">    🟡 Fondo amarillo claro → celdas editables por el usuario</t>
  </si>
  <si>
    <t xml:space="preserve">    🟦 Fondo azul claro → valores calculados automáticamente (no editar)</t>
  </si>
  <si>
    <t xml:space="preserve">    🟩 Fondo verde claro → total ajustado con depreciación aplicada</t>
  </si>
  <si>
    <t xml:space="preserve">    🟠 Texto naranja → valores UF y pérdida indemnizable destacados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</si>
</sst>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d\-mm\-yyyy"/>
    <numFmt numFmtId="166" formatCode="#,##0.00"/>
    <numFmt numFmtId="167" formatCode="#,##0"/>
    <numFmt numFmtId="168" formatCode="0%"/>
    <numFmt numFmtId="169" formatCode="#,##0.00&quot; UF&quot;"/>
  </numFmts>
  <fonts count="2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9"/>
      <color rgb="FFFFFFFF"/>
      <name val="Calibri"/>
      <family val="0"/>
      <charset val="1"/>
    </font>
    <font>
      <b val="true"/>
      <sz val="9"/>
      <color rgb="FF1A1A1A"/>
      <name val="Calibri"/>
      <family val="0"/>
      <charset val="1"/>
    </font>
    <font>
      <sz val="9"/>
      <color rgb="FF1A1A1A"/>
      <name val="Calibri"/>
      <family val="0"/>
      <charset val="1"/>
    </font>
    <font>
      <b val="true"/>
      <sz val="10"/>
      <color rgb="FFFFFFFF"/>
      <name val="Calibri"/>
      <family val="0"/>
      <charset val="1"/>
    </font>
    <font>
      <b val="true"/>
      <sz val="10"/>
      <color rgb="FFFF7640"/>
      <name val="Calibri"/>
      <family val="0"/>
      <charset val="1"/>
    </font>
    <font>
      <i val="true"/>
      <sz val="9"/>
      <color rgb="FFAFADA8"/>
      <name val="Calibri"/>
      <family val="0"/>
      <charset val="1"/>
    </font>
    <font>
      <b val="true"/>
      <sz val="9"/>
      <color rgb="FFFF7640"/>
      <name val="Calibri"/>
      <family val="0"/>
      <charset val="1"/>
    </font>
    <font>
      <b val="true"/>
      <sz val="16"/>
      <color rgb="FFFFFFFF"/>
      <name val="Calibri"/>
      <family val="0"/>
      <charset val="1"/>
    </font>
    <font>
      <i val="true"/>
      <sz val="9"/>
      <color rgb="FFB4CDE0"/>
      <name val="Calibri"/>
      <family val="0"/>
      <charset val="1"/>
    </font>
    <font>
      <b val="true"/>
      <sz val="13"/>
      <color rgb="FFFFFFFF"/>
      <name val="Calibri"/>
      <family val="0"/>
      <charset val="1"/>
    </font>
    <font>
      <sz val="10"/>
      <color rgb="FF1A1A1A"/>
      <name val="Calibri"/>
      <family val="0"/>
      <charset val="1"/>
    </font>
    <font>
      <i val="true"/>
      <sz val="8"/>
      <color rgb="FF335FB3"/>
      <name val="Calibri"/>
      <family val="0"/>
      <charset val="1"/>
    </font>
    <font>
      <b val="true"/>
      <sz val="11"/>
      <color rgb="FFFF7640"/>
      <name val="Calibri"/>
      <family val="0"/>
      <charset val="1"/>
    </font>
    <font>
      <i val="true"/>
      <sz val="8"/>
      <color rgb="FFAFADA8"/>
      <name val="Calibri"/>
      <family val="0"/>
      <charset val="1"/>
    </font>
    <font>
      <b val="true"/>
      <sz val="8"/>
      <color rgb="FFFFFFFF"/>
      <name val="Calibri"/>
      <family val="0"/>
      <charset val="1"/>
    </font>
    <font>
      <sz val="9"/>
      <color rgb="FF335FB3"/>
      <name val="Calibri"/>
      <family val="0"/>
      <charset val="1"/>
    </font>
    <font>
      <sz val="9"/>
      <color rgb="FFFF7640"/>
      <name val="Calibri"/>
      <family val="0"/>
      <charset val="1"/>
    </font>
    <font>
      <b val="true"/>
      <sz val="9"/>
      <color rgb="FF1E6B1E"/>
      <name val="Calibri"/>
      <family val="0"/>
      <charset val="1"/>
    </font>
    <font>
      <i val="true"/>
      <sz val="8"/>
      <color rgb="FF505050"/>
      <name val="Calibri"/>
      <family val="0"/>
      <charset val="1"/>
    </font>
    <font>
      <b val="true"/>
      <sz val="10"/>
      <color rgb="FF335FB3"/>
      <name val="Calibri"/>
      <family val="0"/>
      <charset val="1"/>
    </font>
    <font>
      <b val="true"/>
      <sz val="12"/>
      <color rgb="FFFFFFFF"/>
      <name val="Calibri"/>
      <family val="0"/>
      <charset val="1"/>
    </font>
    <font>
      <b val="true"/>
      <sz val="14"/>
      <color rgb="FFFF7640"/>
      <name val="Calibri"/>
      <family val="0"/>
      <charset val="1"/>
    </font>
    <font>
      <i val="true"/>
      <sz val="8"/>
      <color rgb="FFFFFFFF"/>
      <name val="Calibr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183363"/>
        <bgColor rgb="FF333399"/>
      </patternFill>
    </fill>
    <fill>
      <patternFill patternType="solid">
        <fgColor rgb="FFEBF5FB"/>
        <bgColor rgb="FFEEF3FB"/>
      </patternFill>
    </fill>
    <fill>
      <patternFill patternType="solid">
        <fgColor rgb="FFFFF9E6"/>
        <bgColor rgb="FFFFFDE7"/>
      </patternFill>
    </fill>
    <fill>
      <patternFill patternType="solid">
        <fgColor rgb="FFEAFAF1"/>
        <bgColor rgb="FFEBF5FB"/>
      </patternFill>
    </fill>
    <fill>
      <patternFill patternType="solid">
        <fgColor rgb="FFFDEDEC"/>
        <bgColor rgb="FFFFF0EA"/>
      </patternFill>
    </fill>
    <fill>
      <patternFill patternType="solid">
        <fgColor rgb="FFF4ECF7"/>
        <bgColor rgb="FFF2F3F4"/>
      </patternFill>
    </fill>
    <fill>
      <patternFill patternType="solid">
        <fgColor rgb="FFF2F3F4"/>
        <bgColor rgb="FFEEF3FB"/>
      </patternFill>
    </fill>
    <fill>
      <patternFill patternType="solid">
        <fgColor rgb="FF335FB3"/>
        <bgColor rgb="FF0066CC"/>
      </patternFill>
    </fill>
    <fill>
      <patternFill patternType="solid">
        <fgColor rgb="FFFFFDE7"/>
        <bgColor rgb="FFFFF9E6"/>
      </patternFill>
    </fill>
    <fill>
      <patternFill patternType="solid">
        <fgColor rgb="FFFFFFFF"/>
        <bgColor rgb="FFFFFEF5"/>
      </patternFill>
    </fill>
    <fill>
      <patternFill patternType="solid">
        <fgColor rgb="FFF5F6FA"/>
        <bgColor rgb="FFF2F3F4"/>
      </patternFill>
    </fill>
    <fill>
      <patternFill patternType="solid">
        <fgColor rgb="FFFF7640"/>
        <bgColor rgb="FFFF6600"/>
      </patternFill>
    </fill>
    <fill>
      <patternFill patternType="solid">
        <fgColor rgb="FFFFFEF5"/>
        <bgColor rgb="FFFFFFFF"/>
      </patternFill>
    </fill>
    <fill>
      <patternFill patternType="solid">
        <fgColor rgb="FFEEF3FB"/>
        <bgColor rgb="FFEBF5FB"/>
      </patternFill>
    </fill>
    <fill>
      <patternFill patternType="solid">
        <fgColor rgb="FFFFF3EE"/>
        <bgColor rgb="FFFFF0EA"/>
      </patternFill>
    </fill>
    <fill>
      <patternFill patternType="solid">
        <fgColor rgb="FFE8F4E8"/>
        <bgColor rgb="FFEAFAF1"/>
      </patternFill>
    </fill>
    <fill>
      <patternFill patternType="solid">
        <fgColor rgb="FFEAEEF5"/>
        <bgColor rgb="FFEEF3FB"/>
      </patternFill>
    </fill>
    <fill>
      <patternFill patternType="solid">
        <fgColor rgb="FFAFADA8"/>
        <bgColor rgb="FFB4CDE0"/>
      </patternFill>
    </fill>
    <fill>
      <patternFill patternType="solid">
        <fgColor rgb="FFFFF0EA"/>
        <bgColor rgb="FFFDEDEC"/>
      </patternFill>
    </fill>
  </fills>
  <borders count="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4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5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6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7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8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7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11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1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11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13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" fillId="14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8" fillId="1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6" fillId="1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1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12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6" fillId="1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9" fillId="15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0" fillId="1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1" fillId="1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1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1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11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6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9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23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4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23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4" fillId="1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9" borderId="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8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13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9" fontId="25" fillId="2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0EA"/>
      <rgbColor rgb="FFFF00FF"/>
      <rgbColor rgb="FF00FFFF"/>
      <rgbColor rgb="FF800000"/>
      <rgbColor rgb="FF1E6B1E"/>
      <rgbColor rgb="FF000080"/>
      <rgbColor rgb="FF808000"/>
      <rgbColor rgb="FF800080"/>
      <rgbColor rgb="FF008080"/>
      <rgbColor rgb="FFB4CDE0"/>
      <rgbColor rgb="FF808080"/>
      <rgbColor rgb="FFF5F6FA"/>
      <rgbColor rgb="FF993366"/>
      <rgbColor rgb="FFFFFDE7"/>
      <rgbColor rgb="FFEAFAF1"/>
      <rgbColor rgb="FF660066"/>
      <rgbColor rgb="FFFF7640"/>
      <rgbColor rgb="FF0066CC"/>
      <rgbColor rgb="FFEAEEF5"/>
      <rgbColor rgb="FF000080"/>
      <rgbColor rgb="FFFF00FF"/>
      <rgbColor rgb="FFFFF3EE"/>
      <rgbColor rgb="FF00FFFF"/>
      <rgbColor rgb="FF800080"/>
      <rgbColor rgb="FF800000"/>
      <rgbColor rgb="FF008080"/>
      <rgbColor rgb="FF0000FF"/>
      <rgbColor rgb="FF00CCFF"/>
      <rgbColor rgb="FFEBF5FB"/>
      <rgbColor rgb="FFE8F4E8"/>
      <rgbColor rgb="FFFFF9E6"/>
      <rgbColor rgb="FFEEF3FB"/>
      <rgbColor rgb="FFF4ECF7"/>
      <rgbColor rgb="FFF2F3F4"/>
      <rgbColor rgb="FFFDEDEC"/>
      <rgbColor rgb="FF335FB3"/>
      <rgbColor rgb="FF33CCCC"/>
      <rgbColor rgb="FF99CC00"/>
      <rgbColor rgb="FFFFFEF5"/>
      <rgbColor rgb="FFFF9900"/>
      <rgbColor rgb="FFFF6600"/>
      <rgbColor rgb="FF505050"/>
      <rgbColor rgb="FFAFADA8"/>
      <rgbColor rgb="FF183363"/>
      <rgbColor rgb="FF339966"/>
      <rgbColor rgb="FF003300"/>
      <rgbColor rgb="FF333300"/>
      <rgbColor rgb="FF993300"/>
      <rgbColor rgb="FF993366"/>
      <rgbColor rgb="FF333399"/>
      <rgbColor rgb="FF1A1A1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  <Relationship Id="rId99" Type="http://schemas.microsoft.com/office/2006/relationships/vbaProject" Target="vbaProject.bin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3</xdr:col>
      <xdr:colOff>470160</xdr:colOff>
      <xdr:row>6</xdr:row>
      <xdr:rowOff>56880</xdr:rowOff>
    </xdr:to>
    <xdr:pic>
      <xdr:nvPicPr>
        <xdr:cNvPr id="0" name="Image 1" descr="Picture"/>
        <xdr:cNvPicPr/>
      </xdr:nvPicPr>
      <xdr:blipFill>
        <a:blip r:embed="rId1"/>
        <a:stretch/>
      </xdr:blipFill>
      <xdr:spPr>
        <a:xfrm>
          <a:off x="0" y="0"/>
          <a:ext cx="1809360" cy="11142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</xdr:col>
      <xdr:colOff>1100520</xdr:colOff>
      <xdr:row>4</xdr:row>
      <xdr:rowOff>142200</xdr:rowOff>
    </xdr:to>
    <xdr:pic>
      <xdr:nvPicPr>
        <xdr:cNvPr id="1" name="Image 1" descr="Picture"/>
        <xdr:cNvPicPr/>
      </xdr:nvPicPr>
      <xdr:blipFill>
        <a:blip r:embed="rId1"/>
        <a:stretch/>
      </xdr:blipFill>
      <xdr:spPr>
        <a:xfrm>
          <a:off x="0" y="0"/>
          <a:ext cx="1523520" cy="94248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16"/>
    <col collapsed="false" customWidth="true" hidden="false" outlineLevel="0" max="3" min="3" style="0" width="20"/>
    <col collapsed="false" customWidth="true" hidden="false" outlineLevel="0" max="4" min="4" style="0" width="72"/>
    <col collapsed="false" customWidth="true" hidden="false" outlineLevel="0" max="5" min="5" style="0" width="28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customFormat="false" ht="36" hidden="false" customHeight="true" outlineLevel="0" collapsed="false">
      <c r="A2" s="2" t="s">
        <v>5</v>
      </c>
      <c r="B2" s="3" t="s">
        <v>6</v>
      </c>
      <c r="C2" s="3" t="s">
        <v>7</v>
      </c>
      <c r="D2" s="3" t="s">
        <v>8</v>
      </c>
      <c r="E2" s="3" t="s">
        <v>9</v>
      </c>
    </row>
    <row r="3" customFormat="false" ht="36" hidden="false" customHeight="true" outlineLevel="0" collapsed="false">
      <c r="A3" s="2" t="s">
        <v>10</v>
      </c>
      <c r="B3" s="3" t="s">
        <v>6</v>
      </c>
      <c r="C3" s="3" t="s">
        <v>11</v>
      </c>
      <c r="D3" s="3" t="s">
        <v>12</v>
      </c>
      <c r="E3" s="3" t="s">
        <v>13</v>
      </c>
    </row>
    <row r="4" customFormat="false" ht="36" hidden="false" customHeight="true" outlineLevel="0" collapsed="false">
      <c r="A4" s="2" t="s">
        <v>14</v>
      </c>
      <c r="B4" s="3" t="s">
        <v>6</v>
      </c>
      <c r="C4" s="3" t="s">
        <v>15</v>
      </c>
      <c r="D4" s="3" t="s">
        <v>16</v>
      </c>
      <c r="E4" s="3" t="s">
        <v>9</v>
      </c>
    </row>
    <row r="5" customFormat="false" ht="36" hidden="false" customHeight="true" outlineLevel="0" collapsed="false">
      <c r="A5" s="2" t="s">
        <v>17</v>
      </c>
      <c r="B5" s="3" t="s">
        <v>6</v>
      </c>
      <c r="C5" s="3" t="s">
        <v>18</v>
      </c>
      <c r="D5" s="3" t="s">
        <v>19</v>
      </c>
      <c r="E5" s="3" t="s">
        <v>20</v>
      </c>
    </row>
    <row r="6" customFormat="false" ht="36" hidden="false" customHeight="true" outlineLevel="0" collapsed="false">
      <c r="A6" s="2" t="s">
        <v>21</v>
      </c>
      <c r="B6" s="3" t="s">
        <v>6</v>
      </c>
      <c r="C6" s="3" t="s">
        <v>22</v>
      </c>
      <c r="D6" s="3" t="s">
        <v>23</v>
      </c>
      <c r="E6" s="3" t="s">
        <v>24</v>
      </c>
    </row>
    <row r="7" customFormat="false" ht="36" hidden="false" customHeight="true" outlineLevel="0" collapsed="false">
      <c r="A7" s="4" t="s">
        <v>25</v>
      </c>
      <c r="B7" s="5" t="s">
        <v>26</v>
      </c>
      <c r="C7" s="5" t="s">
        <v>27</v>
      </c>
      <c r="D7" s="5" t="s">
        <v>28</v>
      </c>
      <c r="E7" s="5" t="s">
        <v>20</v>
      </c>
    </row>
    <row r="8" customFormat="false" ht="36" hidden="false" customHeight="true" outlineLevel="0" collapsed="false">
      <c r="A8" s="4" t="s">
        <v>29</v>
      </c>
      <c r="B8" s="5" t="s">
        <v>26</v>
      </c>
      <c r="C8" s="5" t="s">
        <v>20</v>
      </c>
      <c r="D8" s="5" t="s">
        <v>30</v>
      </c>
      <c r="E8" s="5" t="s">
        <v>31</v>
      </c>
    </row>
    <row r="9" customFormat="false" ht="36" hidden="false" customHeight="true" outlineLevel="0" collapsed="false">
      <c r="A9" s="4" t="s">
        <v>32</v>
      </c>
      <c r="B9" s="5" t="s">
        <v>26</v>
      </c>
      <c r="C9" s="5" t="s">
        <v>33</v>
      </c>
      <c r="D9" s="5" t="s">
        <v>34</v>
      </c>
      <c r="E9" s="5" t="s">
        <v>20</v>
      </c>
    </row>
    <row r="10" customFormat="false" ht="36" hidden="false" customHeight="true" outlineLevel="0" collapsed="false">
      <c r="A10" s="4" t="s">
        <v>35</v>
      </c>
      <c r="B10" s="5" t="s">
        <v>26</v>
      </c>
      <c r="C10" s="5" t="s">
        <v>36</v>
      </c>
      <c r="D10" s="5" t="s">
        <v>37</v>
      </c>
      <c r="E10" s="5" t="s">
        <v>38</v>
      </c>
    </row>
    <row r="11" customFormat="false" ht="36" hidden="false" customHeight="true" outlineLevel="0" collapsed="false">
      <c r="A11" s="6" t="s">
        <v>39</v>
      </c>
      <c r="B11" s="7" t="s">
        <v>40</v>
      </c>
      <c r="C11" s="7" t="s">
        <v>41</v>
      </c>
      <c r="D11" s="7" t="s">
        <v>42</v>
      </c>
      <c r="E11" s="7" t="s">
        <v>43</v>
      </c>
    </row>
    <row r="12" customFormat="false" ht="36" hidden="false" customHeight="true" outlineLevel="0" collapsed="false">
      <c r="A12" s="6" t="s">
        <v>44</v>
      </c>
      <c r="B12" s="7" t="s">
        <v>40</v>
      </c>
      <c r="C12" s="7" t="s">
        <v>45</v>
      </c>
      <c r="D12" s="7" t="s">
        <v>46</v>
      </c>
      <c r="E12" s="7" t="s">
        <v>47</v>
      </c>
    </row>
    <row r="13" customFormat="false" ht="36" hidden="false" customHeight="true" outlineLevel="0" collapsed="false">
      <c r="A13" s="6" t="s">
        <v>48</v>
      </c>
      <c r="B13" s="7" t="s">
        <v>40</v>
      </c>
      <c r="C13" s="7" t="s">
        <v>49</v>
      </c>
      <c r="D13" s="7" t="s">
        <v>50</v>
      </c>
      <c r="E13" s="7" t="s">
        <v>51</v>
      </c>
    </row>
    <row r="14" customFormat="false" ht="36" hidden="false" customHeight="true" outlineLevel="0" collapsed="false">
      <c r="A14" s="6" t="s">
        <v>52</v>
      </c>
      <c r="B14" s="7" t="s">
        <v>40</v>
      </c>
      <c r="C14" s="7" t="s">
        <v>53</v>
      </c>
      <c r="D14" s="7" t="s">
        <v>54</v>
      </c>
      <c r="E14" s="7" t="s">
        <v>51</v>
      </c>
    </row>
    <row r="15" customFormat="false" ht="36" hidden="false" customHeight="true" outlineLevel="0" collapsed="false">
      <c r="A15" s="6" t="s">
        <v>55</v>
      </c>
      <c r="B15" s="7" t="s">
        <v>40</v>
      </c>
      <c r="C15" s="7" t="s">
        <v>56</v>
      </c>
      <c r="D15" s="7" t="s">
        <v>57</v>
      </c>
      <c r="E15" s="7" t="s">
        <v>51</v>
      </c>
    </row>
    <row r="16" customFormat="false" ht="36" hidden="false" customHeight="true" outlineLevel="0" collapsed="false">
      <c r="A16" s="8" t="s">
        <v>58</v>
      </c>
      <c r="B16" s="9" t="s">
        <v>36</v>
      </c>
      <c r="C16" s="9" t="s">
        <v>59</v>
      </c>
      <c r="D16" s="9" t="s">
        <v>60</v>
      </c>
      <c r="E16" s="9" t="s">
        <v>38</v>
      </c>
    </row>
    <row r="17" customFormat="false" ht="36" hidden="false" customHeight="true" outlineLevel="0" collapsed="false">
      <c r="A17" s="8" t="s">
        <v>61</v>
      </c>
      <c r="B17" s="9" t="s">
        <v>36</v>
      </c>
      <c r="C17" s="9" t="s">
        <v>62</v>
      </c>
      <c r="D17" s="9" t="s">
        <v>63</v>
      </c>
      <c r="E17" s="9" t="s">
        <v>64</v>
      </c>
    </row>
    <row r="18" customFormat="false" ht="36" hidden="false" customHeight="true" outlineLevel="0" collapsed="false">
      <c r="A18" s="8" t="s">
        <v>65</v>
      </c>
      <c r="B18" s="9" t="s">
        <v>36</v>
      </c>
      <c r="C18" s="9" t="s">
        <v>66</v>
      </c>
      <c r="D18" s="9" t="s">
        <v>67</v>
      </c>
      <c r="E18" s="9" t="s">
        <v>20</v>
      </c>
    </row>
    <row r="19" customFormat="false" ht="36" hidden="false" customHeight="true" outlineLevel="0" collapsed="false">
      <c r="A19" s="8" t="s">
        <v>68</v>
      </c>
      <c r="B19" s="9" t="s">
        <v>36</v>
      </c>
      <c r="C19" s="9" t="s">
        <v>69</v>
      </c>
      <c r="D19" s="9" t="s">
        <v>70</v>
      </c>
      <c r="E19" s="9" t="s">
        <v>31</v>
      </c>
    </row>
    <row r="20" customFormat="false" ht="36" hidden="false" customHeight="true" outlineLevel="0" collapsed="false">
      <c r="A20" s="10" t="s">
        <v>71</v>
      </c>
      <c r="B20" s="11" t="s">
        <v>72</v>
      </c>
      <c r="C20" s="11" t="s">
        <v>73</v>
      </c>
      <c r="D20" s="11" t="s">
        <v>74</v>
      </c>
      <c r="E20" s="11" t="s">
        <v>75</v>
      </c>
    </row>
    <row r="21" customFormat="false" ht="36" hidden="false" customHeight="true" outlineLevel="0" collapsed="false">
      <c r="A21" s="10" t="s">
        <v>76</v>
      </c>
      <c r="B21" s="11" t="s">
        <v>72</v>
      </c>
      <c r="C21" s="11" t="s">
        <v>77</v>
      </c>
      <c r="D21" s="11" t="s">
        <v>78</v>
      </c>
      <c r="E21" s="11" t="s">
        <v>9</v>
      </c>
    </row>
    <row r="22" customFormat="false" ht="36" hidden="false" customHeight="true" outlineLevel="0" collapsed="false">
      <c r="A22" s="10" t="s">
        <v>79</v>
      </c>
      <c r="B22" s="11" t="s">
        <v>72</v>
      </c>
      <c r="C22" s="11" t="s">
        <v>80</v>
      </c>
      <c r="D22" s="11" t="s">
        <v>81</v>
      </c>
      <c r="E22" s="11" t="s">
        <v>31</v>
      </c>
    </row>
    <row r="23" customFormat="false" ht="36" hidden="false" customHeight="true" outlineLevel="0" collapsed="false">
      <c r="A23" s="10" t="s">
        <v>82</v>
      </c>
      <c r="B23" s="11" t="s">
        <v>72</v>
      </c>
      <c r="C23" s="11" t="s">
        <v>83</v>
      </c>
      <c r="D23" s="11" t="s">
        <v>84</v>
      </c>
      <c r="E23" s="11" t="s">
        <v>85</v>
      </c>
    </row>
    <row r="24" customFormat="false" ht="36" hidden="false" customHeight="true" outlineLevel="0" collapsed="false">
      <c r="A24" s="2" t="s">
        <v>86</v>
      </c>
      <c r="B24" s="3" t="s">
        <v>87</v>
      </c>
      <c r="C24" s="3" t="s">
        <v>88</v>
      </c>
      <c r="D24" s="3" t="s">
        <v>89</v>
      </c>
      <c r="E24" s="3" t="s">
        <v>90</v>
      </c>
    </row>
    <row r="25" customFormat="false" ht="36" hidden="false" customHeight="true" outlineLevel="0" collapsed="false">
      <c r="A25" s="2" t="s">
        <v>91</v>
      </c>
      <c r="B25" s="3" t="s">
        <v>87</v>
      </c>
      <c r="C25" s="3" t="s">
        <v>92</v>
      </c>
      <c r="D25" s="3" t="s">
        <v>93</v>
      </c>
      <c r="E25" s="3" t="s">
        <v>90</v>
      </c>
    </row>
    <row r="26" customFormat="false" ht="36" hidden="false" customHeight="true" outlineLevel="0" collapsed="false">
      <c r="A26" s="2" t="s">
        <v>94</v>
      </c>
      <c r="B26" s="3" t="s">
        <v>87</v>
      </c>
      <c r="C26" s="3" t="s">
        <v>95</v>
      </c>
      <c r="D26" s="3" t="s">
        <v>96</v>
      </c>
      <c r="E26" s="3" t="s">
        <v>97</v>
      </c>
    </row>
    <row r="27" customFormat="false" ht="36" hidden="false" customHeight="true" outlineLevel="0" collapsed="false">
      <c r="A27" s="2" t="s">
        <v>98</v>
      </c>
      <c r="B27" s="3" t="s">
        <v>87</v>
      </c>
      <c r="C27" s="3" t="s">
        <v>99</v>
      </c>
      <c r="D27" s="3" t="s">
        <v>100</v>
      </c>
      <c r="E27" s="3" t="s">
        <v>31</v>
      </c>
    </row>
    <row r="28" customFormat="false" ht="36" hidden="false" customHeight="true" outlineLevel="0" collapsed="false">
      <c r="A28" s="4" t="s">
        <v>101</v>
      </c>
      <c r="B28" s="5" t="s">
        <v>102</v>
      </c>
      <c r="C28" s="5" t="s">
        <v>103</v>
      </c>
      <c r="D28" s="5" t="s">
        <v>104</v>
      </c>
      <c r="E28" s="5" t="s">
        <v>9</v>
      </c>
    </row>
    <row r="29" customFormat="false" ht="36" hidden="false" customHeight="true" outlineLevel="0" collapsed="false">
      <c r="A29" s="4" t="s">
        <v>105</v>
      </c>
      <c r="B29" s="5" t="s">
        <v>102</v>
      </c>
      <c r="C29" s="5" t="s">
        <v>106</v>
      </c>
      <c r="D29" s="5" t="s">
        <v>107</v>
      </c>
      <c r="E29" s="5" t="s">
        <v>9</v>
      </c>
    </row>
    <row r="30" customFormat="false" ht="36" hidden="false" customHeight="true" outlineLevel="0" collapsed="false">
      <c r="A30" s="4" t="s">
        <v>108</v>
      </c>
      <c r="B30" s="5" t="s">
        <v>102</v>
      </c>
      <c r="C30" s="5" t="s">
        <v>109</v>
      </c>
      <c r="D30" s="5" t="s">
        <v>110</v>
      </c>
      <c r="E30" s="5" t="s">
        <v>90</v>
      </c>
    </row>
    <row r="31" customFormat="false" ht="36" hidden="false" customHeight="true" outlineLevel="0" collapsed="false">
      <c r="A31" s="4" t="s">
        <v>111</v>
      </c>
      <c r="B31" s="5" t="s">
        <v>102</v>
      </c>
      <c r="C31" s="5" t="s">
        <v>112</v>
      </c>
      <c r="D31" s="5" t="s">
        <v>113</v>
      </c>
      <c r="E31" s="5" t="s">
        <v>90</v>
      </c>
    </row>
    <row r="32" customFormat="false" ht="36" hidden="false" customHeight="true" outlineLevel="0" collapsed="false">
      <c r="A32" s="12" t="s">
        <v>114</v>
      </c>
      <c r="B32" s="13" t="s">
        <v>115</v>
      </c>
      <c r="C32" s="13" t="s">
        <v>116</v>
      </c>
      <c r="D32" s="13" t="s">
        <v>117</v>
      </c>
      <c r="E32" s="13" t="s">
        <v>97</v>
      </c>
    </row>
    <row r="33" customFormat="false" ht="36" hidden="false" customHeight="true" outlineLevel="0" collapsed="false">
      <c r="A33" s="12" t="s">
        <v>118</v>
      </c>
      <c r="B33" s="13" t="s">
        <v>115</v>
      </c>
      <c r="C33" s="13" t="s">
        <v>119</v>
      </c>
      <c r="D33" s="13" t="s">
        <v>120</v>
      </c>
      <c r="E33" s="13" t="s">
        <v>121</v>
      </c>
    </row>
    <row r="34" customFormat="false" ht="36" hidden="false" customHeight="true" outlineLevel="0" collapsed="false">
      <c r="A34" s="12" t="s">
        <v>122</v>
      </c>
      <c r="B34" s="13" t="s">
        <v>115</v>
      </c>
      <c r="C34" s="13" t="s">
        <v>123</v>
      </c>
      <c r="D34" s="13" t="s">
        <v>124</v>
      </c>
      <c r="E34" s="13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5"/>
    <col collapsed="false" customWidth="true" hidden="false" outlineLevel="0" max="2" min="2" style="0" width="18"/>
    <col collapsed="false" customWidth="true" hidden="false" outlineLevel="0" max="3" min="3" style="0" width="50"/>
  </cols>
  <sheetData>
    <row r="1" customFormat="false" ht="21.75" hidden="false" customHeight="true" outlineLevel="0" collapsed="false">
      <c r="A1" s="14" t="s">
        <v>125</v>
      </c>
      <c r="B1" s="14"/>
      <c r="C1" s="14"/>
    </row>
    <row r="2" customFormat="false" ht="15" hidden="false" customHeight="false" outlineLevel="0" collapsed="false">
      <c r="A2" s="15" t="s">
        <v>126</v>
      </c>
      <c r="B2" s="15" t="s">
        <v>127</v>
      </c>
      <c r="C2" s="15" t="s">
        <v>128</v>
      </c>
    </row>
    <row r="3" customFormat="false" ht="18" hidden="false" customHeight="true" outlineLevel="0" collapsed="false">
      <c r="A3" s="16" t="s">
        <v>129</v>
      </c>
      <c r="B3" s="17" t="s">
        <v>130</v>
      </c>
      <c r="C3" s="18" t="s">
        <v>131</v>
      </c>
    </row>
    <row r="4" customFormat="false" ht="18" hidden="false" customHeight="true" outlineLevel="0" collapsed="false">
      <c r="A4" s="16" t="s">
        <v>132</v>
      </c>
      <c r="B4" s="17" t="s">
        <v>130</v>
      </c>
      <c r="C4" s="18" t="s">
        <v>133</v>
      </c>
    </row>
    <row r="6" customFormat="false" ht="7.5" hidden="false" customHeight="true" outlineLevel="0" collapsed="false"/>
    <row r="7" customFormat="false" ht="19.5" hidden="false" customHeight="true" outlineLevel="0" collapsed="false">
      <c r="A7" s="19" t="s">
        <v>134</v>
      </c>
      <c r="B7" s="19"/>
      <c r="C7" s="19"/>
    </row>
    <row r="8" customFormat="false" ht="19.5" hidden="false" customHeight="true" outlineLevel="0" collapsed="false">
      <c r="A8" s="20" t="s">
        <v>135</v>
      </c>
      <c r="B8" s="20"/>
      <c r="C8" s="20"/>
    </row>
    <row r="9" customFormat="false" ht="19.5" hidden="false" customHeight="true" outlineLevel="0" collapsed="false">
      <c r="A9" s="21" t="s">
        <v>136</v>
      </c>
      <c r="B9" s="21"/>
      <c r="C9" s="21"/>
    </row>
    <row r="10" customFormat="false" ht="19.5" hidden="false" customHeight="true" outlineLevel="0" collapsed="false">
      <c r="A10" s="20" t="s">
        <v>137</v>
      </c>
      <c r="B10" s="20"/>
      <c r="C10" s="20"/>
    </row>
    <row r="11" customFormat="false" ht="19.5" hidden="false" customHeight="true" outlineLevel="0" collapsed="false">
      <c r="A11" s="21" t="s">
        <v>138</v>
      </c>
      <c r="B11" s="21"/>
      <c r="C11" s="21"/>
    </row>
    <row r="12" customFormat="false" ht="19.5" hidden="false" customHeight="true" outlineLevel="0" collapsed="false">
      <c r="A12" s="20" t="s">
        <v>139</v>
      </c>
      <c r="B12" s="20"/>
      <c r="C12" s="20"/>
    </row>
    <row r="13" customFormat="false" ht="19.5" hidden="false" customHeight="true" outlineLevel="0" collapsed="false">
      <c r="A13" s="21" t="s">
        <v>140</v>
      </c>
      <c r="B13" s="21"/>
      <c r="C13" s="21"/>
    </row>
    <row r="14" customFormat="false" ht="19.5" hidden="false" customHeight="true" outlineLevel="0" collapsed="false">
      <c r="A14" s="20" t="s">
        <v>141</v>
      </c>
      <c r="B14" s="20"/>
      <c r="C14" s="20"/>
    </row>
  </sheetData>
  <mergeCells count="9">
    <mergeCell ref="A1:C1"/>
    <mergeCell ref="A7:C7"/>
    <mergeCell ref="A8:C8"/>
    <mergeCell ref="A9:C9"/>
    <mergeCell ref="A10:C10"/>
    <mergeCell ref="A11:C11"/>
    <mergeCell ref="A12:C12"/>
    <mergeCell ref="A13:C13"/>
    <mergeCell ref="A14:C1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8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8" topLeftCell="A19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5"/>
    <col collapsed="false" customWidth="true" hidden="false" outlineLevel="0" max="3" min="3" style="0" width="8"/>
    <col collapsed="false" customWidth="true" hidden="false" outlineLevel="0" max="4" min="4" style="0" width="23"/>
    <col collapsed="false" customWidth="true" hidden="false" outlineLevel="0" max="5" min="5" style="0" width="7"/>
    <col collapsed="false" customWidth="true" hidden="false" outlineLevel="0" max="6" min="6" style="0" width="10"/>
    <col collapsed="false" customWidth="true" hidden="false" outlineLevel="0" max="7" min="7" style="0" width="14"/>
    <col collapsed="false" customWidth="true" hidden="false" outlineLevel="0" max="8" min="8" style="0" width="16"/>
    <col collapsed="false" customWidth="true" hidden="false" outlineLevel="0" max="9" min="9" style="0" width="2"/>
    <col collapsed="false" customWidth="true" hidden="false" outlineLevel="0" max="10" min="10" style="0" width="7"/>
    <col collapsed="false" customWidth="true" hidden="false" outlineLevel="0" max="11" min="11" style="0" width="10"/>
    <col collapsed="false" customWidth="true" hidden="false" outlineLevel="0" max="12" min="12" style="0" width="14"/>
    <col collapsed="false" customWidth="true" hidden="false" outlineLevel="0" max="13" min="13" style="0" width="16"/>
    <col collapsed="false" customWidth="true" hidden="false" outlineLevel="0" max="14" min="14" style="0" width="8"/>
    <col collapsed="false" customWidth="true" hidden="false" outlineLevel="0" max="15" min="15" style="0" width="16"/>
    <col collapsed="false" customWidth="true" hidden="false" outlineLevel="0" max="16" min="16" style="0" width="2"/>
    <col collapsed="false" customWidth="true" hidden="false" outlineLevel="0" max="17" min="17" style="0" width="11"/>
    <col collapsed="false" customWidth="true" hidden="false" outlineLevel="0" max="18" min="18" style="0" width="58"/>
  </cols>
  <sheetData>
    <row r="1" customFormat="false" ht="15.75" hidden="false" customHeight="true" outlineLevel="0" collapsed="false">
      <c r="A1" s="22"/>
      <c r="B1" s="22"/>
      <c r="C1" s="22"/>
      <c r="D1" s="22"/>
      <c r="E1" s="22"/>
      <c r="F1" s="22"/>
      <c r="G1" s="22"/>
      <c r="H1" s="22"/>
      <c r="I1" s="22"/>
      <c r="J1" s="23" t="s">
        <v>142</v>
      </c>
      <c r="K1" s="23"/>
      <c r="L1" s="23"/>
      <c r="M1" s="23"/>
      <c r="N1" s="23"/>
      <c r="O1" s="23"/>
      <c r="P1" s="23"/>
      <c r="Q1" s="23"/>
      <c r="R1" s="23"/>
    </row>
    <row r="2" customFormat="false" ht="15.75" hidden="false" customHeight="true" outlineLevel="0" collapsed="false">
      <c r="A2" s="22"/>
      <c r="B2" s="22"/>
      <c r="C2" s="22"/>
      <c r="D2" s="22"/>
      <c r="E2" s="22"/>
      <c r="F2" s="22"/>
      <c r="G2" s="22"/>
      <c r="H2" s="22"/>
      <c r="I2" s="22"/>
      <c r="J2" s="23"/>
      <c r="K2" s="23"/>
      <c r="L2" s="23"/>
      <c r="M2" s="23"/>
      <c r="N2" s="23"/>
      <c r="O2" s="23"/>
      <c r="P2" s="23"/>
      <c r="Q2" s="23"/>
      <c r="R2" s="23"/>
    </row>
    <row r="3" customFormat="false" ht="15.75" hidden="false" customHeight="true" outlineLevel="0" collapsed="false">
      <c r="A3" s="22"/>
      <c r="B3" s="22"/>
      <c r="C3" s="22"/>
      <c r="D3" s="22"/>
      <c r="E3" s="22"/>
      <c r="F3" s="22"/>
      <c r="G3" s="22"/>
      <c r="H3" s="22"/>
      <c r="I3" s="22"/>
      <c r="J3" s="24" t="s">
        <v>143</v>
      </c>
      <c r="K3" s="24"/>
      <c r="L3" s="24"/>
      <c r="M3" s="24"/>
      <c r="N3" s="24"/>
      <c r="O3" s="24"/>
      <c r="P3" s="24"/>
      <c r="Q3" s="24"/>
      <c r="R3" s="24"/>
    </row>
    <row r="4" customFormat="false" ht="15.75" hidden="false" customHeight="true" outlineLevel="0" collapsed="false">
      <c r="A4" s="22"/>
      <c r="B4" s="22"/>
      <c r="C4" s="22"/>
      <c r="D4" s="22"/>
      <c r="E4" s="22"/>
      <c r="F4" s="22"/>
      <c r="G4" s="22"/>
      <c r="H4" s="22"/>
      <c r="I4" s="22"/>
      <c r="J4" s="24" t="s">
        <v>144</v>
      </c>
      <c r="K4" s="24"/>
      <c r="L4" s="24"/>
      <c r="M4" s="24"/>
      <c r="N4" s="24"/>
      <c r="O4" s="24"/>
      <c r="P4" s="24"/>
      <c r="Q4" s="24"/>
      <c r="R4" s="24"/>
    </row>
    <row r="5" customFormat="false" ht="15.75" hidden="false" customHeight="true" outlineLevel="0" collapsed="false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customFormat="false" ht="4.5" hidden="false" customHeight="true" outlineLevel="0" collapsed="false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</row>
    <row r="7" customFormat="false" ht="25.5" hidden="false" customHeight="true" outlineLevel="0" collapsed="false">
      <c r="A7" s="26" t="s">
        <v>145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customFormat="false" ht="6" hidden="false" customHeight="true" outlineLevel="0" collapsed="false"/>
    <row r="9" customFormat="false" ht="19.5" hidden="false" customHeight="true" outlineLevel="0" collapsed="false">
      <c r="A9" s="27" t="s">
        <v>146</v>
      </c>
      <c r="B9" s="27"/>
      <c r="C9" s="28"/>
      <c r="D9" s="28"/>
      <c r="E9" s="28"/>
      <c r="F9" s="28"/>
      <c r="G9" s="28"/>
      <c r="H9" s="28"/>
      <c r="J9" s="27" t="s">
        <v>147</v>
      </c>
      <c r="K9" s="27"/>
      <c r="L9" s="28"/>
      <c r="M9" s="28"/>
      <c r="N9" s="28"/>
      <c r="O9" s="28"/>
      <c r="P9" s="28"/>
      <c r="Q9" s="28"/>
      <c r="R9" s="28"/>
    </row>
    <row r="10" customFormat="false" ht="19.5" hidden="false" customHeight="true" outlineLevel="0" collapsed="false">
      <c r="A10" s="27" t="s">
        <v>148</v>
      </c>
      <c r="B10" s="27"/>
      <c r="C10" s="28"/>
      <c r="D10" s="28"/>
      <c r="E10" s="28"/>
      <c r="F10" s="28"/>
      <c r="G10" s="28"/>
      <c r="H10" s="28"/>
      <c r="J10" s="27" t="s">
        <v>149</v>
      </c>
      <c r="K10" s="27"/>
      <c r="L10" s="28"/>
      <c r="M10" s="28"/>
      <c r="N10" s="28"/>
      <c r="O10" s="28"/>
      <c r="P10" s="28"/>
      <c r="Q10" s="28"/>
      <c r="R10" s="28"/>
    </row>
    <row r="11" customFormat="false" ht="19.5" hidden="false" customHeight="true" outlineLevel="0" collapsed="false">
      <c r="A11" s="27" t="s">
        <v>150</v>
      </c>
      <c r="B11" s="27"/>
      <c r="C11" s="28"/>
      <c r="D11" s="28"/>
      <c r="E11" s="28"/>
      <c r="F11" s="28"/>
      <c r="G11" s="28"/>
      <c r="H11" s="28"/>
      <c r="J11" s="27" t="s">
        <v>151</v>
      </c>
      <c r="K11" s="27"/>
      <c r="L11" s="28"/>
      <c r="M11" s="28"/>
      <c r="N11" s="28"/>
      <c r="O11" s="28"/>
      <c r="P11" s="28"/>
      <c r="Q11" s="28"/>
      <c r="R11" s="28"/>
    </row>
    <row r="12" customFormat="false" ht="19.5" hidden="false" customHeight="true" outlineLevel="0" collapsed="false">
      <c r="A12" s="27" t="s">
        <v>152</v>
      </c>
      <c r="B12" s="27"/>
      <c r="C12" s="28"/>
      <c r="D12" s="28"/>
      <c r="E12" s="28"/>
      <c r="F12" s="28"/>
      <c r="G12" s="28"/>
      <c r="H12" s="28"/>
      <c r="J12" s="27" t="s">
        <v>153</v>
      </c>
      <c r="K12" s="27"/>
      <c r="L12" s="28"/>
      <c r="M12" s="28"/>
      <c r="N12" s="28"/>
      <c r="O12" s="28"/>
      <c r="P12" s="28"/>
      <c r="Q12" s="28"/>
      <c r="R12" s="28"/>
    </row>
    <row r="14" customFormat="false" ht="6" hidden="false" customHeight="true" outlineLevel="0" collapsed="false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</row>
    <row r="15" customFormat="false" ht="21.75" hidden="false" customHeight="true" outlineLevel="0" collapsed="false">
      <c r="A15" s="30" t="s">
        <v>154</v>
      </c>
      <c r="B15" s="30"/>
      <c r="C15" s="30"/>
      <c r="D15" s="30"/>
      <c r="E15" s="31"/>
      <c r="F15" s="31"/>
      <c r="G15" s="31"/>
      <c r="H15" s="32" t="s">
        <v>155</v>
      </c>
      <c r="I15" s="32"/>
      <c r="J15" s="32"/>
      <c r="K15" s="30" t="s">
        <v>156</v>
      </c>
      <c r="L15" s="30"/>
      <c r="M15" s="30"/>
      <c r="N15" s="33" t="str">
        <f aca="false">IFERROR(_UF_Data!B2,"— Actualice datos —")</f>
        <v>Valor</v>
      </c>
      <c r="O15" s="33"/>
      <c r="P15" s="33"/>
      <c r="Q15" s="34" t="s">
        <v>157</v>
      </c>
      <c r="R15" s="34"/>
    </row>
    <row r="16" customFormat="false" ht="4.5" hidden="false" customHeight="true" outlineLevel="0" collapsed="false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</row>
    <row r="17" customFormat="false" ht="18" hidden="false" customHeight="true" outlineLevel="0" collapsed="false">
      <c r="E17" s="35" t="s">
        <v>158</v>
      </c>
      <c r="F17" s="35"/>
      <c r="G17" s="35"/>
      <c r="H17" s="35"/>
      <c r="J17" s="36" t="s">
        <v>159</v>
      </c>
      <c r="K17" s="36"/>
      <c r="L17" s="36"/>
      <c r="M17" s="36"/>
      <c r="N17" s="36"/>
      <c r="O17" s="36"/>
      <c r="P17" s="36"/>
      <c r="Q17" s="36"/>
      <c r="R17" s="36"/>
    </row>
    <row r="18" customFormat="false" ht="31.5" hidden="false" customHeight="true" outlineLevel="0" collapsed="false">
      <c r="A18" s="37" t="s">
        <v>160</v>
      </c>
      <c r="B18" s="37" t="s">
        <v>161</v>
      </c>
      <c r="C18" s="38" t="s">
        <v>162</v>
      </c>
      <c r="D18" s="38"/>
      <c r="E18" s="37" t="s">
        <v>163</v>
      </c>
      <c r="F18" s="37" t="s">
        <v>164</v>
      </c>
      <c r="G18" s="37" t="s">
        <v>165</v>
      </c>
      <c r="H18" s="37" t="s">
        <v>166</v>
      </c>
      <c r="J18" s="37" t="s">
        <v>163</v>
      </c>
      <c r="K18" s="37" t="s">
        <v>164</v>
      </c>
      <c r="L18" s="37" t="s">
        <v>165</v>
      </c>
      <c r="M18" s="37" t="s">
        <v>167</v>
      </c>
      <c r="N18" s="37" t="s">
        <v>168</v>
      </c>
      <c r="O18" s="37" t="s">
        <v>169</v>
      </c>
      <c r="Q18" s="37" t="s">
        <v>170</v>
      </c>
      <c r="R18" s="37" t="s">
        <v>171</v>
      </c>
    </row>
    <row r="19" customFormat="false" ht="16.5" hidden="false" customHeight="true" outlineLevel="0" collapsed="false">
      <c r="A19" s="39"/>
      <c r="B19" s="39"/>
      <c r="C19" s="40"/>
      <c r="D19" s="40"/>
      <c r="E19" s="39"/>
      <c r="F19" s="39"/>
      <c r="G19" s="41"/>
      <c r="H19" s="42" t="str">
        <f aca="false">IF(OR(E19=0,G19=0),"",E19*G19)</f>
        <v/>
      </c>
      <c r="J19" s="39"/>
      <c r="K19" s="39"/>
      <c r="L19" s="41"/>
      <c r="M19" s="42" t="str">
        <f aca="false">IF(OR(J19=0,L19=0),"",J19*L19)</f>
        <v/>
      </c>
      <c r="N19" s="43"/>
      <c r="O19" s="44" t="str">
        <f aca="false">IF(M19="","",IFERROR(IF(N19=0,M19,M19*(1-N19)),M19))</f>
        <v/>
      </c>
      <c r="Q19" s="45"/>
      <c r="R19" s="46" t="str">
        <f aca="false">IF(Q19="","",IFERROR(VLOOKUP(Q19,_Cod!$A$2:$E$35,4,0),"Código no válido"))</f>
        <v/>
      </c>
    </row>
    <row r="20" customFormat="false" ht="16.5" hidden="false" customHeight="true" outlineLevel="0" collapsed="false">
      <c r="A20" s="47"/>
      <c r="B20" s="47"/>
      <c r="C20" s="48"/>
      <c r="D20" s="48"/>
      <c r="E20" s="47"/>
      <c r="F20" s="47"/>
      <c r="G20" s="49"/>
      <c r="H20" s="42" t="str">
        <f aca="false">IF(OR(E20=0,G20=0),"",E20*G20)</f>
        <v/>
      </c>
      <c r="J20" s="47"/>
      <c r="K20" s="47"/>
      <c r="L20" s="49"/>
      <c r="M20" s="42" t="str">
        <f aca="false">IF(OR(J20=0,L20=0),"",J20*L20)</f>
        <v/>
      </c>
      <c r="N20" s="43"/>
      <c r="O20" s="44" t="str">
        <f aca="false">IF(M20="","",IFERROR(IF(N20=0,M20,M20*(1-N20)),M20))</f>
        <v/>
      </c>
      <c r="Q20" s="45"/>
      <c r="R20" s="46" t="str">
        <f aca="false">IF(Q20="","",IFERROR(VLOOKUP(Q20,_Cod!$A$2:$E$35,4,0),"Código no válido"))</f>
        <v/>
      </c>
    </row>
    <row r="21" customFormat="false" ht="16.5" hidden="false" customHeight="true" outlineLevel="0" collapsed="false">
      <c r="A21" s="39"/>
      <c r="B21" s="39"/>
      <c r="C21" s="40"/>
      <c r="D21" s="40"/>
      <c r="E21" s="39"/>
      <c r="F21" s="39"/>
      <c r="G21" s="41"/>
      <c r="H21" s="42" t="str">
        <f aca="false">IF(OR(E21=0,G21=0),"",E21*G21)</f>
        <v/>
      </c>
      <c r="J21" s="39"/>
      <c r="K21" s="39"/>
      <c r="L21" s="41"/>
      <c r="M21" s="42" t="str">
        <f aca="false">IF(OR(J21=0,L21=0),"",J21*L21)</f>
        <v/>
      </c>
      <c r="N21" s="43"/>
      <c r="O21" s="44" t="str">
        <f aca="false">IF(M21="","",IFERROR(IF(N21=0,M21,M21*(1-N21)),M21))</f>
        <v/>
      </c>
      <c r="Q21" s="45"/>
      <c r="R21" s="46" t="str">
        <f aca="false">IF(Q21="","",IFERROR(VLOOKUP(Q21,_Cod!$A$2:$E$35,4,0),"Código no válido"))</f>
        <v/>
      </c>
    </row>
    <row r="22" customFormat="false" ht="16.5" hidden="false" customHeight="true" outlineLevel="0" collapsed="false">
      <c r="A22" s="47"/>
      <c r="B22" s="47"/>
      <c r="C22" s="48"/>
      <c r="D22" s="48"/>
      <c r="E22" s="47"/>
      <c r="F22" s="47"/>
      <c r="G22" s="49"/>
      <c r="H22" s="42" t="str">
        <f aca="false">IF(OR(E22=0,G22=0),"",E22*G22)</f>
        <v/>
      </c>
      <c r="J22" s="47"/>
      <c r="K22" s="47"/>
      <c r="L22" s="49"/>
      <c r="M22" s="42" t="str">
        <f aca="false">IF(OR(J22=0,L22=0),"",J22*L22)</f>
        <v/>
      </c>
      <c r="N22" s="43"/>
      <c r="O22" s="44" t="str">
        <f aca="false">IF(M22="","",IFERROR(IF(N22=0,M22,M22*(1-N22)),M22))</f>
        <v/>
      </c>
      <c r="Q22" s="45"/>
      <c r="R22" s="46" t="str">
        <f aca="false">IF(Q22="","",IFERROR(VLOOKUP(Q22,_Cod!$A$2:$E$35,4,0),"Código no válido"))</f>
        <v/>
      </c>
    </row>
    <row r="23" customFormat="false" ht="16.5" hidden="false" customHeight="true" outlineLevel="0" collapsed="false">
      <c r="A23" s="39"/>
      <c r="B23" s="39"/>
      <c r="C23" s="40"/>
      <c r="D23" s="40"/>
      <c r="E23" s="39"/>
      <c r="F23" s="39"/>
      <c r="G23" s="41"/>
      <c r="H23" s="42" t="str">
        <f aca="false">IF(OR(E23=0,G23=0),"",E23*G23)</f>
        <v/>
      </c>
      <c r="J23" s="39"/>
      <c r="K23" s="39"/>
      <c r="L23" s="41"/>
      <c r="M23" s="42" t="str">
        <f aca="false">IF(OR(J23=0,L23=0),"",J23*L23)</f>
        <v/>
      </c>
      <c r="N23" s="43"/>
      <c r="O23" s="44" t="str">
        <f aca="false">IF(M23="","",IFERROR(IF(N23=0,M23,M23*(1-N23)),M23))</f>
        <v/>
      </c>
      <c r="Q23" s="45"/>
      <c r="R23" s="46" t="str">
        <f aca="false">IF(Q23="","",IFERROR(VLOOKUP(Q23,_Cod!$A$2:$E$35,4,0),"Código no válido"))</f>
        <v/>
      </c>
    </row>
    <row r="24" customFormat="false" ht="16.5" hidden="false" customHeight="true" outlineLevel="0" collapsed="false">
      <c r="A24" s="47"/>
      <c r="B24" s="47"/>
      <c r="C24" s="48"/>
      <c r="D24" s="48"/>
      <c r="E24" s="47"/>
      <c r="F24" s="47"/>
      <c r="G24" s="49"/>
      <c r="H24" s="42" t="str">
        <f aca="false">IF(OR(E24=0,G24=0),"",E24*G24)</f>
        <v/>
      </c>
      <c r="J24" s="47"/>
      <c r="K24" s="47"/>
      <c r="L24" s="49"/>
      <c r="M24" s="42" t="str">
        <f aca="false">IF(OR(J24=0,L24=0),"",J24*L24)</f>
        <v/>
      </c>
      <c r="N24" s="43"/>
      <c r="O24" s="44" t="str">
        <f aca="false">IF(M24="","",IFERROR(IF(N24=0,M24,M24*(1-N24)),M24))</f>
        <v/>
      </c>
      <c r="Q24" s="45"/>
      <c r="R24" s="46" t="str">
        <f aca="false">IF(Q24="","",IFERROR(VLOOKUP(Q24,_Cod!$A$2:$E$35,4,0),"Código no válido"))</f>
        <v/>
      </c>
    </row>
    <row r="25" customFormat="false" ht="16.5" hidden="false" customHeight="true" outlineLevel="0" collapsed="false">
      <c r="A25" s="39"/>
      <c r="B25" s="39"/>
      <c r="C25" s="40"/>
      <c r="D25" s="40"/>
      <c r="E25" s="39"/>
      <c r="F25" s="39"/>
      <c r="G25" s="41"/>
      <c r="H25" s="42" t="str">
        <f aca="false">IF(OR(E25=0,G25=0),"",E25*G25)</f>
        <v/>
      </c>
      <c r="J25" s="39"/>
      <c r="K25" s="39"/>
      <c r="L25" s="41"/>
      <c r="M25" s="42" t="str">
        <f aca="false">IF(OR(J25=0,L25=0),"",J25*L25)</f>
        <v/>
      </c>
      <c r="N25" s="43"/>
      <c r="O25" s="44" t="str">
        <f aca="false">IF(M25="","",IFERROR(IF(N25=0,M25,M25*(1-N25)),M25))</f>
        <v/>
      </c>
      <c r="Q25" s="45"/>
      <c r="R25" s="46" t="str">
        <f aca="false">IF(Q25="","",IFERROR(VLOOKUP(Q25,_Cod!$A$2:$E$35,4,0),"Código no válido"))</f>
        <v/>
      </c>
    </row>
    <row r="26" customFormat="false" ht="16.5" hidden="false" customHeight="true" outlineLevel="0" collapsed="false">
      <c r="A26" s="47"/>
      <c r="B26" s="47"/>
      <c r="C26" s="48"/>
      <c r="D26" s="48"/>
      <c r="E26" s="47"/>
      <c r="F26" s="47"/>
      <c r="G26" s="49"/>
      <c r="H26" s="42" t="str">
        <f aca="false">IF(OR(E26=0,G26=0),"",E26*G26)</f>
        <v/>
      </c>
      <c r="J26" s="47"/>
      <c r="K26" s="47"/>
      <c r="L26" s="49"/>
      <c r="M26" s="42" t="str">
        <f aca="false">IF(OR(J26=0,L26=0),"",J26*L26)</f>
        <v/>
      </c>
      <c r="N26" s="43"/>
      <c r="O26" s="44" t="str">
        <f aca="false">IF(M26="","",IFERROR(IF(N26=0,M26,M26*(1-N26)),M26))</f>
        <v/>
      </c>
      <c r="Q26" s="45"/>
      <c r="R26" s="46" t="str">
        <f aca="false">IF(Q26="","",IFERROR(VLOOKUP(Q26,_Cod!$A$2:$E$35,4,0),"Código no válido"))</f>
        <v/>
      </c>
    </row>
    <row r="27" customFormat="false" ht="16.5" hidden="false" customHeight="true" outlineLevel="0" collapsed="false">
      <c r="A27" s="39"/>
      <c r="B27" s="39"/>
      <c r="C27" s="40"/>
      <c r="D27" s="40"/>
      <c r="E27" s="39"/>
      <c r="F27" s="39"/>
      <c r="G27" s="41"/>
      <c r="H27" s="42" t="str">
        <f aca="false">IF(OR(E27=0,G27=0),"",E27*G27)</f>
        <v/>
      </c>
      <c r="J27" s="39"/>
      <c r="K27" s="39"/>
      <c r="L27" s="41"/>
      <c r="M27" s="42" t="str">
        <f aca="false">IF(OR(J27=0,L27=0),"",J27*L27)</f>
        <v/>
      </c>
      <c r="N27" s="43"/>
      <c r="O27" s="44" t="str">
        <f aca="false">IF(M27="","",IFERROR(IF(N27=0,M27,M27*(1-N27)),M27))</f>
        <v/>
      </c>
      <c r="Q27" s="45"/>
      <c r="R27" s="46" t="str">
        <f aca="false">IF(Q27="","",IFERROR(VLOOKUP(Q27,_Cod!$A$2:$E$35,4,0),"Código no válido"))</f>
        <v/>
      </c>
    </row>
    <row r="28" customFormat="false" ht="16.5" hidden="false" customHeight="true" outlineLevel="0" collapsed="false">
      <c r="A28" s="47"/>
      <c r="B28" s="47"/>
      <c r="C28" s="48"/>
      <c r="D28" s="48"/>
      <c r="E28" s="47"/>
      <c r="F28" s="47"/>
      <c r="G28" s="49"/>
      <c r="H28" s="42" t="str">
        <f aca="false">IF(OR(E28=0,G28=0),"",E28*G28)</f>
        <v/>
      </c>
      <c r="J28" s="47"/>
      <c r="K28" s="47"/>
      <c r="L28" s="49"/>
      <c r="M28" s="42" t="str">
        <f aca="false">IF(OR(J28=0,L28=0),"",J28*L28)</f>
        <v/>
      </c>
      <c r="N28" s="43"/>
      <c r="O28" s="44" t="str">
        <f aca="false">IF(M28="","",IFERROR(IF(N28=0,M28,M28*(1-N28)),M28))</f>
        <v/>
      </c>
      <c r="Q28" s="45"/>
      <c r="R28" s="46" t="str">
        <f aca="false">IF(Q28="","",IFERROR(VLOOKUP(Q28,_Cod!$A$2:$E$35,4,0),"Código no válido"))</f>
        <v/>
      </c>
    </row>
    <row r="29" customFormat="false" ht="16.5" hidden="false" customHeight="true" outlineLevel="0" collapsed="false">
      <c r="A29" s="39"/>
      <c r="B29" s="39"/>
      <c r="C29" s="40"/>
      <c r="D29" s="40"/>
      <c r="E29" s="39"/>
      <c r="F29" s="39"/>
      <c r="G29" s="41"/>
      <c r="H29" s="42" t="str">
        <f aca="false">IF(OR(E29=0,G29=0),"",E29*G29)</f>
        <v/>
      </c>
      <c r="J29" s="39"/>
      <c r="K29" s="39"/>
      <c r="L29" s="41"/>
      <c r="M29" s="42" t="str">
        <f aca="false">IF(OR(J29=0,L29=0),"",J29*L29)</f>
        <v/>
      </c>
      <c r="N29" s="43"/>
      <c r="O29" s="44" t="str">
        <f aca="false">IF(M29="","",IFERROR(IF(N29=0,M29,M29*(1-N29)),M29))</f>
        <v/>
      </c>
      <c r="Q29" s="45"/>
      <c r="R29" s="46" t="str">
        <f aca="false">IF(Q29="","",IFERROR(VLOOKUP(Q29,_Cod!$A$2:$E$35,4,0),"Código no válido"))</f>
        <v/>
      </c>
    </row>
    <row r="30" customFormat="false" ht="16.5" hidden="false" customHeight="true" outlineLevel="0" collapsed="false">
      <c r="A30" s="47"/>
      <c r="B30" s="47"/>
      <c r="C30" s="48"/>
      <c r="D30" s="48"/>
      <c r="E30" s="47"/>
      <c r="F30" s="47"/>
      <c r="G30" s="49"/>
      <c r="H30" s="42" t="str">
        <f aca="false">IF(OR(E30=0,G30=0),"",E30*G30)</f>
        <v/>
      </c>
      <c r="J30" s="47"/>
      <c r="K30" s="47"/>
      <c r="L30" s="49"/>
      <c r="M30" s="42" t="str">
        <f aca="false">IF(OR(J30=0,L30=0),"",J30*L30)</f>
        <v/>
      </c>
      <c r="N30" s="43"/>
      <c r="O30" s="44" t="str">
        <f aca="false">IF(M30="","",IFERROR(IF(N30=0,M30,M30*(1-N30)),M30))</f>
        <v/>
      </c>
      <c r="Q30" s="45"/>
      <c r="R30" s="46" t="str">
        <f aca="false">IF(Q30="","",IFERROR(VLOOKUP(Q30,_Cod!$A$2:$E$35,4,0),"Código no válido"))</f>
        <v/>
      </c>
    </row>
    <row r="31" customFormat="false" ht="16.5" hidden="false" customHeight="true" outlineLevel="0" collapsed="false">
      <c r="A31" s="39"/>
      <c r="B31" s="39"/>
      <c r="C31" s="40"/>
      <c r="D31" s="40"/>
      <c r="E31" s="39"/>
      <c r="F31" s="39"/>
      <c r="G31" s="41"/>
      <c r="H31" s="42" t="str">
        <f aca="false">IF(OR(E31=0,G31=0),"",E31*G31)</f>
        <v/>
      </c>
      <c r="J31" s="39"/>
      <c r="K31" s="39"/>
      <c r="L31" s="41"/>
      <c r="M31" s="42" t="str">
        <f aca="false">IF(OR(J31=0,L31=0),"",J31*L31)</f>
        <v/>
      </c>
      <c r="N31" s="43"/>
      <c r="O31" s="44" t="str">
        <f aca="false">IF(M31="","",IFERROR(IF(N31=0,M31,M31*(1-N31)),M31))</f>
        <v/>
      </c>
      <c r="Q31" s="45"/>
      <c r="R31" s="46" t="str">
        <f aca="false">IF(Q31="","",IFERROR(VLOOKUP(Q31,_Cod!$A$2:$E$35,4,0),"Código no válido"))</f>
        <v/>
      </c>
    </row>
    <row r="32" customFormat="false" ht="16.5" hidden="false" customHeight="true" outlineLevel="0" collapsed="false">
      <c r="A32" s="47"/>
      <c r="B32" s="47"/>
      <c r="C32" s="48"/>
      <c r="D32" s="48"/>
      <c r="E32" s="47"/>
      <c r="F32" s="47"/>
      <c r="G32" s="49"/>
      <c r="H32" s="42" t="str">
        <f aca="false">IF(OR(E32=0,G32=0),"",E32*G32)</f>
        <v/>
      </c>
      <c r="J32" s="47"/>
      <c r="K32" s="47"/>
      <c r="L32" s="49"/>
      <c r="M32" s="42" t="str">
        <f aca="false">IF(OR(J32=0,L32=0),"",J32*L32)</f>
        <v/>
      </c>
      <c r="N32" s="43"/>
      <c r="O32" s="44" t="str">
        <f aca="false">IF(M32="","",IFERROR(IF(N32=0,M32,M32*(1-N32)),M32))</f>
        <v/>
      </c>
      <c r="Q32" s="45"/>
      <c r="R32" s="46" t="str">
        <f aca="false">IF(Q32="","",IFERROR(VLOOKUP(Q32,_Cod!$A$2:$E$35,4,0),"Código no válido"))</f>
        <v/>
      </c>
    </row>
    <row r="33" customFormat="false" ht="16.5" hidden="false" customHeight="true" outlineLevel="0" collapsed="false">
      <c r="A33" s="39"/>
      <c r="B33" s="39"/>
      <c r="C33" s="40"/>
      <c r="D33" s="40"/>
      <c r="E33" s="39"/>
      <c r="F33" s="39"/>
      <c r="G33" s="41"/>
      <c r="H33" s="42" t="str">
        <f aca="false">IF(OR(E33=0,G33=0),"",E33*G33)</f>
        <v/>
      </c>
      <c r="J33" s="39"/>
      <c r="K33" s="39"/>
      <c r="L33" s="41"/>
      <c r="M33" s="42" t="str">
        <f aca="false">IF(OR(J33=0,L33=0),"",J33*L33)</f>
        <v/>
      </c>
      <c r="N33" s="43"/>
      <c r="O33" s="44" t="str">
        <f aca="false">IF(M33="","",IFERROR(IF(N33=0,M33,M33*(1-N33)),M33))</f>
        <v/>
      </c>
      <c r="Q33" s="45"/>
      <c r="R33" s="46" t="str">
        <f aca="false">IF(Q33="","",IFERROR(VLOOKUP(Q33,_Cod!$A$2:$E$35,4,0),"Código no válido"))</f>
        <v/>
      </c>
    </row>
    <row r="34" customFormat="false" ht="16.5" hidden="false" customHeight="true" outlineLevel="0" collapsed="false">
      <c r="A34" s="47"/>
      <c r="B34" s="47"/>
      <c r="C34" s="48"/>
      <c r="D34" s="48"/>
      <c r="E34" s="47"/>
      <c r="F34" s="47"/>
      <c r="G34" s="49"/>
      <c r="H34" s="42" t="str">
        <f aca="false">IF(OR(E34=0,G34=0),"",E34*G34)</f>
        <v/>
      </c>
      <c r="J34" s="47"/>
      <c r="K34" s="47"/>
      <c r="L34" s="49"/>
      <c r="M34" s="42" t="str">
        <f aca="false">IF(OR(J34=0,L34=0),"",J34*L34)</f>
        <v/>
      </c>
      <c r="N34" s="43"/>
      <c r="O34" s="44" t="str">
        <f aca="false">IF(M34="","",IFERROR(IF(N34=0,M34,M34*(1-N34)),M34))</f>
        <v/>
      </c>
      <c r="Q34" s="45"/>
      <c r="R34" s="46" t="str">
        <f aca="false">IF(Q34="","",IFERROR(VLOOKUP(Q34,_Cod!$A$2:$E$35,4,0),"Código no válido"))</f>
        <v/>
      </c>
    </row>
    <row r="35" customFormat="false" ht="16.5" hidden="false" customHeight="true" outlineLevel="0" collapsed="false">
      <c r="A35" s="39"/>
      <c r="B35" s="39"/>
      <c r="C35" s="40"/>
      <c r="D35" s="40"/>
      <c r="E35" s="39"/>
      <c r="F35" s="39"/>
      <c r="G35" s="41"/>
      <c r="H35" s="42" t="str">
        <f aca="false">IF(OR(E35=0,G35=0),"",E35*G35)</f>
        <v/>
      </c>
      <c r="J35" s="39"/>
      <c r="K35" s="39"/>
      <c r="L35" s="41"/>
      <c r="M35" s="42" t="str">
        <f aca="false">IF(OR(J35=0,L35=0),"",J35*L35)</f>
        <v/>
      </c>
      <c r="N35" s="43"/>
      <c r="O35" s="44" t="str">
        <f aca="false">IF(M35="","",IFERROR(IF(N35=0,M35,M35*(1-N35)),M35))</f>
        <v/>
      </c>
      <c r="Q35" s="45"/>
      <c r="R35" s="46" t="str">
        <f aca="false">IF(Q35="","",IFERROR(VLOOKUP(Q35,_Cod!$A$2:$E$35,4,0),"Código no válido"))</f>
        <v/>
      </c>
    </row>
    <row r="36" customFormat="false" ht="16.5" hidden="false" customHeight="true" outlineLevel="0" collapsed="false">
      <c r="A36" s="47"/>
      <c r="B36" s="47"/>
      <c r="C36" s="48"/>
      <c r="D36" s="48"/>
      <c r="E36" s="47"/>
      <c r="F36" s="47"/>
      <c r="G36" s="49"/>
      <c r="H36" s="42" t="str">
        <f aca="false">IF(OR(E36=0,G36=0),"",E36*G36)</f>
        <v/>
      </c>
      <c r="J36" s="47"/>
      <c r="K36" s="47"/>
      <c r="L36" s="49"/>
      <c r="M36" s="42" t="str">
        <f aca="false">IF(OR(J36=0,L36=0),"",J36*L36)</f>
        <v/>
      </c>
      <c r="N36" s="43"/>
      <c r="O36" s="44" t="str">
        <f aca="false">IF(M36="","",IFERROR(IF(N36=0,M36,M36*(1-N36)),M36))</f>
        <v/>
      </c>
      <c r="Q36" s="45"/>
      <c r="R36" s="46" t="str">
        <f aca="false">IF(Q36="","",IFERROR(VLOOKUP(Q36,_Cod!$A$2:$E$35,4,0),"Código no válido"))</f>
        <v/>
      </c>
    </row>
    <row r="37" customFormat="false" ht="16.5" hidden="false" customHeight="true" outlineLevel="0" collapsed="false">
      <c r="A37" s="39"/>
      <c r="B37" s="39"/>
      <c r="C37" s="40"/>
      <c r="D37" s="40"/>
      <c r="E37" s="39"/>
      <c r="F37" s="39"/>
      <c r="G37" s="41"/>
      <c r="H37" s="42" t="str">
        <f aca="false">IF(OR(E37=0,G37=0),"",E37*G37)</f>
        <v/>
      </c>
      <c r="J37" s="39"/>
      <c r="K37" s="39"/>
      <c r="L37" s="41"/>
      <c r="M37" s="42" t="str">
        <f aca="false">IF(OR(J37=0,L37=0),"",J37*L37)</f>
        <v/>
      </c>
      <c r="N37" s="43"/>
      <c r="O37" s="44" t="str">
        <f aca="false">IF(M37="","",IFERROR(IF(N37=0,M37,M37*(1-N37)),M37))</f>
        <v/>
      </c>
      <c r="Q37" s="45"/>
      <c r="R37" s="46" t="str">
        <f aca="false">IF(Q37="","",IFERROR(VLOOKUP(Q37,_Cod!$A$2:$E$35,4,0),"Código no válido"))</f>
        <v/>
      </c>
    </row>
    <row r="38" customFormat="false" ht="16.5" hidden="false" customHeight="true" outlineLevel="0" collapsed="false">
      <c r="A38" s="47"/>
      <c r="B38" s="47"/>
      <c r="C38" s="48"/>
      <c r="D38" s="48"/>
      <c r="E38" s="47"/>
      <c r="F38" s="47"/>
      <c r="G38" s="49"/>
      <c r="H38" s="42" t="str">
        <f aca="false">IF(OR(E38=0,G38=0),"",E38*G38)</f>
        <v/>
      </c>
      <c r="J38" s="47"/>
      <c r="K38" s="47"/>
      <c r="L38" s="49"/>
      <c r="M38" s="42" t="str">
        <f aca="false">IF(OR(J38=0,L38=0),"",J38*L38)</f>
        <v/>
      </c>
      <c r="N38" s="43"/>
      <c r="O38" s="44" t="str">
        <f aca="false">IF(M38="","",IFERROR(IF(N38=0,M38,M38*(1-N38)),M38))</f>
        <v/>
      </c>
      <c r="Q38" s="45"/>
      <c r="R38" s="46" t="str">
        <f aca="false">IF(Q38="","",IFERROR(VLOOKUP(Q38,_Cod!$A$2:$E$35,4,0),"Código no válido"))</f>
        <v/>
      </c>
    </row>
    <row r="39" customFormat="false" ht="16.5" hidden="false" customHeight="true" outlineLevel="0" collapsed="false">
      <c r="A39" s="39"/>
      <c r="B39" s="39"/>
      <c r="C39" s="40"/>
      <c r="D39" s="40"/>
      <c r="E39" s="39"/>
      <c r="F39" s="39"/>
      <c r="G39" s="41"/>
      <c r="H39" s="42" t="str">
        <f aca="false">IF(OR(E39=0,G39=0),"",E39*G39)</f>
        <v/>
      </c>
      <c r="J39" s="39"/>
      <c r="K39" s="39"/>
      <c r="L39" s="41"/>
      <c r="M39" s="42" t="str">
        <f aca="false">IF(OR(J39=0,L39=0),"",J39*L39)</f>
        <v/>
      </c>
      <c r="N39" s="43"/>
      <c r="O39" s="44" t="str">
        <f aca="false">IF(M39="","",IFERROR(IF(N39=0,M39,M39*(1-N39)),M39))</f>
        <v/>
      </c>
      <c r="Q39" s="45"/>
      <c r="R39" s="46" t="str">
        <f aca="false">IF(Q39="","",IFERROR(VLOOKUP(Q39,_Cod!$A$2:$E$35,4,0),"Código no válido"))</f>
        <v/>
      </c>
    </row>
    <row r="40" customFormat="false" ht="16.5" hidden="false" customHeight="true" outlineLevel="0" collapsed="false">
      <c r="A40" s="47"/>
      <c r="B40" s="47"/>
      <c r="C40" s="48"/>
      <c r="D40" s="48"/>
      <c r="E40" s="47"/>
      <c r="F40" s="47"/>
      <c r="G40" s="49"/>
      <c r="H40" s="42" t="str">
        <f aca="false">IF(OR(E40=0,G40=0),"",E40*G40)</f>
        <v/>
      </c>
      <c r="J40" s="47"/>
      <c r="K40" s="47"/>
      <c r="L40" s="49"/>
      <c r="M40" s="42" t="str">
        <f aca="false">IF(OR(J40=0,L40=0),"",J40*L40)</f>
        <v/>
      </c>
      <c r="N40" s="43"/>
      <c r="O40" s="44" t="str">
        <f aca="false">IF(M40="","",IFERROR(IF(N40=0,M40,M40*(1-N40)),M40))</f>
        <v/>
      </c>
      <c r="Q40" s="45"/>
      <c r="R40" s="46" t="str">
        <f aca="false">IF(Q40="","",IFERROR(VLOOKUP(Q40,_Cod!$A$2:$E$35,4,0),"Código no válido"))</f>
        <v/>
      </c>
    </row>
    <row r="41" customFormat="false" ht="16.5" hidden="false" customHeight="true" outlineLevel="0" collapsed="false">
      <c r="A41" s="39"/>
      <c r="B41" s="39"/>
      <c r="C41" s="40"/>
      <c r="D41" s="40"/>
      <c r="E41" s="39"/>
      <c r="F41" s="39"/>
      <c r="G41" s="41"/>
      <c r="H41" s="42" t="str">
        <f aca="false">IF(OR(E41=0,G41=0),"",E41*G41)</f>
        <v/>
      </c>
      <c r="J41" s="39"/>
      <c r="K41" s="39"/>
      <c r="L41" s="41"/>
      <c r="M41" s="42" t="str">
        <f aca="false">IF(OR(J41=0,L41=0),"",J41*L41)</f>
        <v/>
      </c>
      <c r="N41" s="43"/>
      <c r="O41" s="44" t="str">
        <f aca="false">IF(M41="","",IFERROR(IF(N41=0,M41,M41*(1-N41)),M41))</f>
        <v/>
      </c>
      <c r="Q41" s="45"/>
      <c r="R41" s="46" t="str">
        <f aca="false">IF(Q41="","",IFERROR(VLOOKUP(Q41,_Cod!$A$2:$E$35,4,0),"Código no válido"))</f>
        <v/>
      </c>
    </row>
    <row r="42" customFormat="false" ht="16.5" hidden="false" customHeight="true" outlineLevel="0" collapsed="false">
      <c r="A42" s="47"/>
      <c r="B42" s="47"/>
      <c r="C42" s="48"/>
      <c r="D42" s="48"/>
      <c r="E42" s="47"/>
      <c r="F42" s="47"/>
      <c r="G42" s="49"/>
      <c r="H42" s="42" t="str">
        <f aca="false">IF(OR(E42=0,G42=0),"",E42*G42)</f>
        <v/>
      </c>
      <c r="J42" s="47"/>
      <c r="K42" s="47"/>
      <c r="L42" s="49"/>
      <c r="M42" s="42" t="str">
        <f aca="false">IF(OR(J42=0,L42=0),"",J42*L42)</f>
        <v/>
      </c>
      <c r="N42" s="43"/>
      <c r="O42" s="44" t="str">
        <f aca="false">IF(M42="","",IFERROR(IF(N42=0,M42,M42*(1-N42)),M42))</f>
        <v/>
      </c>
      <c r="Q42" s="45"/>
      <c r="R42" s="46" t="str">
        <f aca="false">IF(Q42="","",IFERROR(VLOOKUP(Q42,_Cod!$A$2:$E$35,4,0),"Código no válido"))</f>
        <v/>
      </c>
    </row>
    <row r="43" customFormat="false" ht="16.5" hidden="false" customHeight="true" outlineLevel="0" collapsed="false">
      <c r="A43" s="39"/>
      <c r="B43" s="39"/>
      <c r="C43" s="40"/>
      <c r="D43" s="40"/>
      <c r="E43" s="39"/>
      <c r="F43" s="39"/>
      <c r="G43" s="41"/>
      <c r="H43" s="42" t="str">
        <f aca="false">IF(OR(E43=0,G43=0),"",E43*G43)</f>
        <v/>
      </c>
      <c r="J43" s="39"/>
      <c r="K43" s="39"/>
      <c r="L43" s="41"/>
      <c r="M43" s="42" t="str">
        <f aca="false">IF(OR(J43=0,L43=0),"",J43*L43)</f>
        <v/>
      </c>
      <c r="N43" s="43"/>
      <c r="O43" s="44" t="str">
        <f aca="false">IF(M43="","",IFERROR(IF(N43=0,M43,M43*(1-N43)),M43))</f>
        <v/>
      </c>
      <c r="Q43" s="45"/>
      <c r="R43" s="46" t="str">
        <f aca="false">IF(Q43="","",IFERROR(VLOOKUP(Q43,_Cod!$A$2:$E$35,4,0),"Código no válido"))</f>
        <v/>
      </c>
    </row>
    <row r="44" customFormat="false" ht="16.5" hidden="false" customHeight="true" outlineLevel="0" collapsed="false">
      <c r="A44" s="47"/>
      <c r="B44" s="47"/>
      <c r="C44" s="48"/>
      <c r="D44" s="48"/>
      <c r="E44" s="47"/>
      <c r="F44" s="47"/>
      <c r="G44" s="49"/>
      <c r="H44" s="42" t="str">
        <f aca="false">IF(OR(E44=0,G44=0),"",E44*G44)</f>
        <v/>
      </c>
      <c r="J44" s="47"/>
      <c r="K44" s="47"/>
      <c r="L44" s="49"/>
      <c r="M44" s="42" t="str">
        <f aca="false">IF(OR(J44=0,L44=0),"",J44*L44)</f>
        <v/>
      </c>
      <c r="N44" s="43"/>
      <c r="O44" s="44" t="str">
        <f aca="false">IF(M44="","",IFERROR(IF(N44=0,M44,M44*(1-N44)),M44))</f>
        <v/>
      </c>
      <c r="Q44" s="45"/>
      <c r="R44" s="46" t="str">
        <f aca="false">IF(Q44="","",IFERROR(VLOOKUP(Q44,_Cod!$A$2:$E$35,4,0),"Código no válido"))</f>
        <v/>
      </c>
    </row>
    <row r="45" customFormat="false" ht="16.5" hidden="false" customHeight="true" outlineLevel="0" collapsed="false">
      <c r="A45" s="39"/>
      <c r="B45" s="39"/>
      <c r="C45" s="40"/>
      <c r="D45" s="40"/>
      <c r="E45" s="39"/>
      <c r="F45" s="39"/>
      <c r="G45" s="41"/>
      <c r="H45" s="42" t="str">
        <f aca="false">IF(OR(E45=0,G45=0),"",E45*G45)</f>
        <v/>
      </c>
      <c r="J45" s="39"/>
      <c r="K45" s="39"/>
      <c r="L45" s="41"/>
      <c r="M45" s="42" t="str">
        <f aca="false">IF(OR(J45=0,L45=0),"",J45*L45)</f>
        <v/>
      </c>
      <c r="N45" s="43"/>
      <c r="O45" s="44" t="str">
        <f aca="false">IF(M45="","",IFERROR(IF(N45=0,M45,M45*(1-N45)),M45))</f>
        <v/>
      </c>
      <c r="Q45" s="45"/>
      <c r="R45" s="46" t="str">
        <f aca="false">IF(Q45="","",IFERROR(VLOOKUP(Q45,_Cod!$A$2:$E$35,4,0),"Código no válido"))</f>
        <v/>
      </c>
    </row>
    <row r="46" customFormat="false" ht="16.5" hidden="false" customHeight="true" outlineLevel="0" collapsed="false">
      <c r="A46" s="47"/>
      <c r="B46" s="47"/>
      <c r="C46" s="48"/>
      <c r="D46" s="48"/>
      <c r="E46" s="47"/>
      <c r="F46" s="47"/>
      <c r="G46" s="49"/>
      <c r="H46" s="42" t="str">
        <f aca="false">IF(OR(E46=0,G46=0),"",E46*G46)</f>
        <v/>
      </c>
      <c r="J46" s="47"/>
      <c r="K46" s="47"/>
      <c r="L46" s="49"/>
      <c r="M46" s="42" t="str">
        <f aca="false">IF(OR(J46=0,L46=0),"",J46*L46)</f>
        <v/>
      </c>
      <c r="N46" s="43"/>
      <c r="O46" s="44" t="str">
        <f aca="false">IF(M46="","",IFERROR(IF(N46=0,M46,M46*(1-N46)),M46))</f>
        <v/>
      </c>
      <c r="Q46" s="45"/>
      <c r="R46" s="46" t="str">
        <f aca="false">IF(Q46="","",IFERROR(VLOOKUP(Q46,_Cod!$A$2:$E$35,4,0),"Código no válido"))</f>
        <v/>
      </c>
    </row>
    <row r="47" customFormat="false" ht="16.5" hidden="false" customHeight="true" outlineLevel="0" collapsed="false">
      <c r="A47" s="39"/>
      <c r="B47" s="39"/>
      <c r="C47" s="40"/>
      <c r="D47" s="40"/>
      <c r="E47" s="39"/>
      <c r="F47" s="39"/>
      <c r="G47" s="41"/>
      <c r="H47" s="42" t="str">
        <f aca="false">IF(OR(E47=0,G47=0),"",E47*G47)</f>
        <v/>
      </c>
      <c r="J47" s="39"/>
      <c r="K47" s="39"/>
      <c r="L47" s="41"/>
      <c r="M47" s="42" t="str">
        <f aca="false">IF(OR(J47=0,L47=0),"",J47*L47)</f>
        <v/>
      </c>
      <c r="N47" s="43"/>
      <c r="O47" s="44" t="str">
        <f aca="false">IF(M47="","",IFERROR(IF(N47=0,M47,M47*(1-N47)),M47))</f>
        <v/>
      </c>
      <c r="Q47" s="45"/>
      <c r="R47" s="46" t="str">
        <f aca="false">IF(Q47="","",IFERROR(VLOOKUP(Q47,_Cod!$A$2:$E$35,4,0),"Código no válido"))</f>
        <v/>
      </c>
    </row>
    <row r="48" customFormat="false" ht="16.5" hidden="false" customHeight="true" outlineLevel="0" collapsed="false">
      <c r="A48" s="47"/>
      <c r="B48" s="47"/>
      <c r="C48" s="48"/>
      <c r="D48" s="48"/>
      <c r="E48" s="47"/>
      <c r="F48" s="47"/>
      <c r="G48" s="49"/>
      <c r="H48" s="42" t="str">
        <f aca="false">IF(OR(E48=0,G48=0),"",E48*G48)</f>
        <v/>
      </c>
      <c r="J48" s="47"/>
      <c r="K48" s="47"/>
      <c r="L48" s="49"/>
      <c r="M48" s="42" t="str">
        <f aca="false">IF(OR(J48=0,L48=0),"",J48*L48)</f>
        <v/>
      </c>
      <c r="N48" s="43"/>
      <c r="O48" s="44" t="str">
        <f aca="false">IF(M48="","",IFERROR(IF(N48=0,M48,M48*(1-N48)),M48))</f>
        <v/>
      </c>
      <c r="Q48" s="45"/>
      <c r="R48" s="46" t="str">
        <f aca="false">IF(Q48="","",IFERROR(VLOOKUP(Q48,_Cod!$A$2:$E$35,4,0),"Código no válido"))</f>
        <v/>
      </c>
    </row>
    <row r="49" customFormat="false" ht="16.5" hidden="false" customHeight="true" outlineLevel="0" collapsed="false">
      <c r="A49" s="39"/>
      <c r="B49" s="39"/>
      <c r="C49" s="40"/>
      <c r="D49" s="40"/>
      <c r="E49" s="39"/>
      <c r="F49" s="39"/>
      <c r="G49" s="41"/>
      <c r="H49" s="42" t="str">
        <f aca="false">IF(OR(E49=0,G49=0),"",E49*G49)</f>
        <v/>
      </c>
      <c r="J49" s="39"/>
      <c r="K49" s="39"/>
      <c r="L49" s="41"/>
      <c r="M49" s="42" t="str">
        <f aca="false">IF(OR(J49=0,L49=0),"",J49*L49)</f>
        <v/>
      </c>
      <c r="N49" s="43"/>
      <c r="O49" s="44" t="str">
        <f aca="false">IF(M49="","",IFERROR(IF(N49=0,M49,M49*(1-N49)),M49))</f>
        <v/>
      </c>
      <c r="Q49" s="45"/>
      <c r="R49" s="46" t="str">
        <f aca="false">IF(Q49="","",IFERROR(VLOOKUP(Q49,_Cod!$A$2:$E$35,4,0),"Código no válido"))</f>
        <v/>
      </c>
    </row>
    <row r="50" customFormat="false" ht="16.5" hidden="false" customHeight="true" outlineLevel="0" collapsed="false">
      <c r="A50" s="47"/>
      <c r="B50" s="47"/>
      <c r="C50" s="48"/>
      <c r="D50" s="48"/>
      <c r="E50" s="47"/>
      <c r="F50" s="47"/>
      <c r="G50" s="49"/>
      <c r="H50" s="42" t="str">
        <f aca="false">IF(OR(E50=0,G50=0),"",E50*G50)</f>
        <v/>
      </c>
      <c r="J50" s="47"/>
      <c r="K50" s="47"/>
      <c r="L50" s="49"/>
      <c r="M50" s="42" t="str">
        <f aca="false">IF(OR(J50=0,L50=0),"",J50*L50)</f>
        <v/>
      </c>
      <c r="N50" s="43"/>
      <c r="O50" s="44" t="str">
        <f aca="false">IF(M50="","",IFERROR(IF(N50=0,M50,M50*(1-N50)),M50))</f>
        <v/>
      </c>
      <c r="Q50" s="45"/>
      <c r="R50" s="46" t="str">
        <f aca="false">IF(Q50="","",IFERROR(VLOOKUP(Q50,_Cod!$A$2:$E$35,4,0),"Código no válido"))</f>
        <v/>
      </c>
    </row>
    <row r="51" customFormat="false" ht="16.5" hidden="false" customHeight="true" outlineLevel="0" collapsed="false">
      <c r="A51" s="39"/>
      <c r="B51" s="39"/>
      <c r="C51" s="40"/>
      <c r="D51" s="40"/>
      <c r="E51" s="39"/>
      <c r="F51" s="39"/>
      <c r="G51" s="41"/>
      <c r="H51" s="42" t="str">
        <f aca="false">IF(OR(E51=0,G51=0),"",E51*G51)</f>
        <v/>
      </c>
      <c r="J51" s="39"/>
      <c r="K51" s="39"/>
      <c r="L51" s="41"/>
      <c r="M51" s="42" t="str">
        <f aca="false">IF(OR(J51=0,L51=0),"",J51*L51)</f>
        <v/>
      </c>
      <c r="N51" s="43"/>
      <c r="O51" s="44" t="str">
        <f aca="false">IF(M51="","",IFERROR(IF(N51=0,M51,M51*(1-N51)),M51))</f>
        <v/>
      </c>
      <c r="Q51" s="45"/>
      <c r="R51" s="46" t="str">
        <f aca="false">IF(Q51="","",IFERROR(VLOOKUP(Q51,_Cod!$A$2:$E$35,4,0),"Código no válido"))</f>
        <v/>
      </c>
    </row>
    <row r="52" customFormat="false" ht="16.5" hidden="false" customHeight="true" outlineLevel="0" collapsed="false">
      <c r="A52" s="47"/>
      <c r="B52" s="47"/>
      <c r="C52" s="48"/>
      <c r="D52" s="48"/>
      <c r="E52" s="47"/>
      <c r="F52" s="47"/>
      <c r="G52" s="49"/>
      <c r="H52" s="42" t="str">
        <f aca="false">IF(OR(E52=0,G52=0),"",E52*G52)</f>
        <v/>
      </c>
      <c r="J52" s="47"/>
      <c r="K52" s="47"/>
      <c r="L52" s="49"/>
      <c r="M52" s="42" t="str">
        <f aca="false">IF(OR(J52=0,L52=0),"",J52*L52)</f>
        <v/>
      </c>
      <c r="N52" s="43"/>
      <c r="O52" s="44" t="str">
        <f aca="false">IF(M52="","",IFERROR(IF(N52=0,M52,M52*(1-N52)),M52))</f>
        <v/>
      </c>
      <c r="Q52" s="45"/>
      <c r="R52" s="46" t="str">
        <f aca="false">IF(Q52="","",IFERROR(VLOOKUP(Q52,_Cod!$A$2:$E$35,4,0),"Código no válido"))</f>
        <v/>
      </c>
    </row>
    <row r="53" customFormat="false" ht="16.5" hidden="false" customHeight="true" outlineLevel="0" collapsed="false">
      <c r="A53" s="39"/>
      <c r="B53" s="39"/>
      <c r="C53" s="40"/>
      <c r="D53" s="40"/>
      <c r="E53" s="39"/>
      <c r="F53" s="39"/>
      <c r="G53" s="41"/>
      <c r="H53" s="42" t="str">
        <f aca="false">IF(OR(E53=0,G53=0),"",E53*G53)</f>
        <v/>
      </c>
      <c r="J53" s="39"/>
      <c r="K53" s="39"/>
      <c r="L53" s="41"/>
      <c r="M53" s="42" t="str">
        <f aca="false">IF(OR(J53=0,L53=0),"",J53*L53)</f>
        <v/>
      </c>
      <c r="N53" s="43"/>
      <c r="O53" s="44" t="str">
        <f aca="false">IF(M53="","",IFERROR(IF(N53=0,M53,M53*(1-N53)),M53))</f>
        <v/>
      </c>
      <c r="Q53" s="45"/>
      <c r="R53" s="46" t="str">
        <f aca="false">IF(Q53="","",IFERROR(VLOOKUP(Q53,_Cod!$A$2:$E$35,4,0),"Código no válido"))</f>
        <v/>
      </c>
    </row>
    <row r="54" customFormat="false" ht="16.5" hidden="false" customHeight="true" outlineLevel="0" collapsed="false">
      <c r="A54" s="47"/>
      <c r="B54" s="47"/>
      <c r="C54" s="48"/>
      <c r="D54" s="48"/>
      <c r="E54" s="47"/>
      <c r="F54" s="47"/>
      <c r="G54" s="49"/>
      <c r="H54" s="42" t="str">
        <f aca="false">IF(OR(E54=0,G54=0),"",E54*G54)</f>
        <v/>
      </c>
      <c r="J54" s="47"/>
      <c r="K54" s="47"/>
      <c r="L54" s="49"/>
      <c r="M54" s="42" t="str">
        <f aca="false">IF(OR(J54=0,L54=0),"",J54*L54)</f>
        <v/>
      </c>
      <c r="N54" s="43"/>
      <c r="O54" s="44" t="str">
        <f aca="false">IF(M54="","",IFERROR(IF(N54=0,M54,M54*(1-N54)),M54))</f>
        <v/>
      </c>
      <c r="Q54" s="45"/>
      <c r="R54" s="46" t="str">
        <f aca="false">IF(Q54="","",IFERROR(VLOOKUP(Q54,_Cod!$A$2:$E$35,4,0),"Código no válido"))</f>
        <v/>
      </c>
    </row>
    <row r="55" customFormat="false" ht="16.5" hidden="false" customHeight="true" outlineLevel="0" collapsed="false">
      <c r="A55" s="39"/>
      <c r="B55" s="39"/>
      <c r="C55" s="40"/>
      <c r="D55" s="40"/>
      <c r="E55" s="39"/>
      <c r="F55" s="39"/>
      <c r="G55" s="41"/>
      <c r="H55" s="42" t="str">
        <f aca="false">IF(OR(E55=0,G55=0),"",E55*G55)</f>
        <v/>
      </c>
      <c r="J55" s="39"/>
      <c r="K55" s="39"/>
      <c r="L55" s="41"/>
      <c r="M55" s="42" t="str">
        <f aca="false">IF(OR(J55=0,L55=0),"",J55*L55)</f>
        <v/>
      </c>
      <c r="N55" s="43"/>
      <c r="O55" s="44" t="str">
        <f aca="false">IF(M55="","",IFERROR(IF(N55=0,M55,M55*(1-N55)),M55))</f>
        <v/>
      </c>
      <c r="Q55" s="45"/>
      <c r="R55" s="46" t="str">
        <f aca="false">IF(Q55="","",IFERROR(VLOOKUP(Q55,_Cod!$A$2:$E$35,4,0),"Código no válido"))</f>
        <v/>
      </c>
    </row>
    <row r="56" customFormat="false" ht="16.5" hidden="false" customHeight="true" outlineLevel="0" collapsed="false">
      <c r="A56" s="47"/>
      <c r="B56" s="47"/>
      <c r="C56" s="48"/>
      <c r="D56" s="48"/>
      <c r="E56" s="47"/>
      <c r="F56" s="47"/>
      <c r="G56" s="49"/>
      <c r="H56" s="42" t="str">
        <f aca="false">IF(OR(E56=0,G56=0),"",E56*G56)</f>
        <v/>
      </c>
      <c r="J56" s="47"/>
      <c r="K56" s="47"/>
      <c r="L56" s="49"/>
      <c r="M56" s="42" t="str">
        <f aca="false">IF(OR(J56=0,L56=0),"",J56*L56)</f>
        <v/>
      </c>
      <c r="N56" s="43"/>
      <c r="O56" s="44" t="str">
        <f aca="false">IF(M56="","",IFERROR(IF(N56=0,M56,M56*(1-N56)),M56))</f>
        <v/>
      </c>
      <c r="Q56" s="45"/>
      <c r="R56" s="46" t="str">
        <f aca="false">IF(Q56="","",IFERROR(VLOOKUP(Q56,_Cod!$A$2:$E$35,4,0),"Código no válido"))</f>
        <v/>
      </c>
    </row>
    <row r="57" customFormat="false" ht="16.5" hidden="false" customHeight="true" outlineLevel="0" collapsed="false">
      <c r="A57" s="39"/>
      <c r="B57" s="39"/>
      <c r="C57" s="40"/>
      <c r="D57" s="40"/>
      <c r="E57" s="39"/>
      <c r="F57" s="39"/>
      <c r="G57" s="41"/>
      <c r="H57" s="42" t="str">
        <f aca="false">IF(OR(E57=0,G57=0),"",E57*G57)</f>
        <v/>
      </c>
      <c r="J57" s="39"/>
      <c r="K57" s="39"/>
      <c r="L57" s="41"/>
      <c r="M57" s="42" t="str">
        <f aca="false">IF(OR(J57=0,L57=0),"",J57*L57)</f>
        <v/>
      </c>
      <c r="N57" s="43"/>
      <c r="O57" s="44" t="str">
        <f aca="false">IF(M57="","",IFERROR(IF(N57=0,M57,M57*(1-N57)),M57))</f>
        <v/>
      </c>
      <c r="Q57" s="45"/>
      <c r="R57" s="46" t="str">
        <f aca="false">IF(Q57="","",IFERROR(VLOOKUP(Q57,_Cod!$A$2:$E$35,4,0),"Código no válido"))</f>
        <v/>
      </c>
    </row>
    <row r="58" customFormat="false" ht="16.5" hidden="false" customHeight="true" outlineLevel="0" collapsed="false">
      <c r="A58" s="47"/>
      <c r="B58" s="47"/>
      <c r="C58" s="48"/>
      <c r="D58" s="48"/>
      <c r="E58" s="47"/>
      <c r="F58" s="47"/>
      <c r="G58" s="49"/>
      <c r="H58" s="42" t="str">
        <f aca="false">IF(OR(E58=0,G58=0),"",E58*G58)</f>
        <v/>
      </c>
      <c r="J58" s="47"/>
      <c r="K58" s="47"/>
      <c r="L58" s="49"/>
      <c r="M58" s="42" t="str">
        <f aca="false">IF(OR(J58=0,L58=0),"",J58*L58)</f>
        <v/>
      </c>
      <c r="N58" s="43"/>
      <c r="O58" s="44" t="str">
        <f aca="false">IF(M58="","",IFERROR(IF(N58=0,M58,M58*(1-N58)),M58))</f>
        <v/>
      </c>
      <c r="Q58" s="45"/>
      <c r="R58" s="46" t="str">
        <f aca="false">IF(Q58="","",IFERROR(VLOOKUP(Q58,_Cod!$A$2:$E$35,4,0),"Código no válido"))</f>
        <v/>
      </c>
    </row>
    <row r="59" customFormat="false" ht="16.5" hidden="false" customHeight="true" outlineLevel="0" collapsed="false">
      <c r="A59" s="39"/>
      <c r="B59" s="39"/>
      <c r="C59" s="40"/>
      <c r="D59" s="40"/>
      <c r="E59" s="39"/>
      <c r="F59" s="39"/>
      <c r="G59" s="41"/>
      <c r="H59" s="42" t="str">
        <f aca="false">IF(OR(E59=0,G59=0),"",E59*G59)</f>
        <v/>
      </c>
      <c r="J59" s="39"/>
      <c r="K59" s="39"/>
      <c r="L59" s="41"/>
      <c r="M59" s="42" t="str">
        <f aca="false">IF(OR(J59=0,L59=0),"",J59*L59)</f>
        <v/>
      </c>
      <c r="N59" s="43"/>
      <c r="O59" s="44" t="str">
        <f aca="false">IF(M59="","",IFERROR(IF(N59=0,M59,M59*(1-N59)),M59))</f>
        <v/>
      </c>
      <c r="Q59" s="45"/>
      <c r="R59" s="46" t="str">
        <f aca="false">IF(Q59="","",IFERROR(VLOOKUP(Q59,_Cod!$A$2:$E$35,4,0),"Código no válido"))</f>
        <v/>
      </c>
    </row>
    <row r="60" customFormat="false" ht="16.5" hidden="false" customHeight="true" outlineLevel="0" collapsed="false">
      <c r="A60" s="47"/>
      <c r="B60" s="47"/>
      <c r="C60" s="48"/>
      <c r="D60" s="48"/>
      <c r="E60" s="47"/>
      <c r="F60" s="47"/>
      <c r="G60" s="49"/>
      <c r="H60" s="42" t="str">
        <f aca="false">IF(OR(E60=0,G60=0),"",E60*G60)</f>
        <v/>
      </c>
      <c r="J60" s="47"/>
      <c r="K60" s="47"/>
      <c r="L60" s="49"/>
      <c r="M60" s="42" t="str">
        <f aca="false">IF(OR(J60=0,L60=0),"",J60*L60)</f>
        <v/>
      </c>
      <c r="N60" s="43"/>
      <c r="O60" s="44" t="str">
        <f aca="false">IF(M60="","",IFERROR(IF(N60=0,M60,M60*(1-N60)),M60))</f>
        <v/>
      </c>
      <c r="Q60" s="45"/>
      <c r="R60" s="46" t="str">
        <f aca="false">IF(Q60="","",IFERROR(VLOOKUP(Q60,_Cod!$A$2:$E$35,4,0),"Código no válido"))</f>
        <v/>
      </c>
    </row>
    <row r="61" customFormat="false" ht="16.5" hidden="false" customHeight="true" outlineLevel="0" collapsed="false">
      <c r="A61" s="39"/>
      <c r="B61" s="39"/>
      <c r="C61" s="40"/>
      <c r="D61" s="40"/>
      <c r="E61" s="39"/>
      <c r="F61" s="39"/>
      <c r="G61" s="41"/>
      <c r="H61" s="42" t="str">
        <f aca="false">IF(OR(E61=0,G61=0),"",E61*G61)</f>
        <v/>
      </c>
      <c r="J61" s="39"/>
      <c r="K61" s="39"/>
      <c r="L61" s="41"/>
      <c r="M61" s="42" t="str">
        <f aca="false">IF(OR(J61=0,L61=0),"",J61*L61)</f>
        <v/>
      </c>
      <c r="N61" s="43"/>
      <c r="O61" s="44" t="str">
        <f aca="false">IF(M61="","",IFERROR(IF(N61=0,M61,M61*(1-N61)),M61))</f>
        <v/>
      </c>
      <c r="Q61" s="45"/>
      <c r="R61" s="46" t="str">
        <f aca="false">IF(Q61="","",IFERROR(VLOOKUP(Q61,_Cod!$A$2:$E$35,4,0),"Código no válido"))</f>
        <v/>
      </c>
    </row>
    <row r="62" customFormat="false" ht="16.5" hidden="false" customHeight="true" outlineLevel="0" collapsed="false">
      <c r="A62" s="47"/>
      <c r="B62" s="47"/>
      <c r="C62" s="48"/>
      <c r="D62" s="48"/>
      <c r="E62" s="47"/>
      <c r="F62" s="47"/>
      <c r="G62" s="49"/>
      <c r="H62" s="42" t="str">
        <f aca="false">IF(OR(E62=0,G62=0),"",E62*G62)</f>
        <v/>
      </c>
      <c r="J62" s="47"/>
      <c r="K62" s="47"/>
      <c r="L62" s="49"/>
      <c r="M62" s="42" t="str">
        <f aca="false">IF(OR(J62=0,L62=0),"",J62*L62)</f>
        <v/>
      </c>
      <c r="N62" s="43"/>
      <c r="O62" s="44" t="str">
        <f aca="false">IF(M62="","",IFERROR(IF(N62=0,M62,M62*(1-N62)),M62))</f>
        <v/>
      </c>
      <c r="Q62" s="45"/>
      <c r="R62" s="46" t="str">
        <f aca="false">IF(Q62="","",IFERROR(VLOOKUP(Q62,_Cod!$A$2:$E$35,4,0),"Código no válido"))</f>
        <v/>
      </c>
    </row>
    <row r="63" customFormat="false" ht="16.5" hidden="false" customHeight="true" outlineLevel="0" collapsed="false">
      <c r="A63" s="39"/>
      <c r="B63" s="39"/>
      <c r="C63" s="40"/>
      <c r="D63" s="40"/>
      <c r="E63" s="39"/>
      <c r="F63" s="39"/>
      <c r="G63" s="41"/>
      <c r="H63" s="42" t="str">
        <f aca="false">IF(OR(E63=0,G63=0),"",E63*G63)</f>
        <v/>
      </c>
      <c r="J63" s="39"/>
      <c r="K63" s="39"/>
      <c r="L63" s="41"/>
      <c r="M63" s="42" t="str">
        <f aca="false">IF(OR(J63=0,L63=0),"",J63*L63)</f>
        <v/>
      </c>
      <c r="N63" s="43"/>
      <c r="O63" s="44" t="str">
        <f aca="false">IF(M63="","",IFERROR(IF(N63=0,M63,M63*(1-N63)),M63))</f>
        <v/>
      </c>
      <c r="Q63" s="45"/>
      <c r="R63" s="46" t="str">
        <f aca="false">IF(Q63="","",IFERROR(VLOOKUP(Q63,_Cod!$A$2:$E$35,4,0),"Código no válido"))</f>
        <v/>
      </c>
    </row>
    <row r="64" customFormat="false" ht="16.5" hidden="false" customHeight="true" outlineLevel="0" collapsed="false">
      <c r="A64" s="47"/>
      <c r="B64" s="47"/>
      <c r="C64" s="48"/>
      <c r="D64" s="48"/>
      <c r="E64" s="47"/>
      <c r="F64" s="47"/>
      <c r="G64" s="49"/>
      <c r="H64" s="42" t="str">
        <f aca="false">IF(OR(E64=0,G64=0),"",E64*G64)</f>
        <v/>
      </c>
      <c r="J64" s="47"/>
      <c r="K64" s="47"/>
      <c r="L64" s="49"/>
      <c r="M64" s="42" t="str">
        <f aca="false">IF(OR(J64=0,L64=0),"",J64*L64)</f>
        <v/>
      </c>
      <c r="N64" s="43"/>
      <c r="O64" s="44" t="str">
        <f aca="false">IF(M64="","",IFERROR(IF(N64=0,M64,M64*(1-N64)),M64))</f>
        <v/>
      </c>
      <c r="Q64" s="45"/>
      <c r="R64" s="46" t="str">
        <f aca="false">IF(Q64="","",IFERROR(VLOOKUP(Q64,_Cod!$A$2:$E$35,4,0),"Código no válido"))</f>
        <v/>
      </c>
    </row>
    <row r="65" customFormat="false" ht="16.5" hidden="false" customHeight="true" outlineLevel="0" collapsed="false">
      <c r="A65" s="39"/>
      <c r="B65" s="39"/>
      <c r="C65" s="40"/>
      <c r="D65" s="40"/>
      <c r="E65" s="39"/>
      <c r="F65" s="39"/>
      <c r="G65" s="41"/>
      <c r="H65" s="42" t="str">
        <f aca="false">IF(OR(E65=0,G65=0),"",E65*G65)</f>
        <v/>
      </c>
      <c r="J65" s="39"/>
      <c r="K65" s="39"/>
      <c r="L65" s="41"/>
      <c r="M65" s="42" t="str">
        <f aca="false">IF(OR(J65=0,L65=0),"",J65*L65)</f>
        <v/>
      </c>
      <c r="N65" s="43"/>
      <c r="O65" s="44" t="str">
        <f aca="false">IF(M65="","",IFERROR(IF(N65=0,M65,M65*(1-N65)),M65))</f>
        <v/>
      </c>
      <c r="Q65" s="45"/>
      <c r="R65" s="46" t="str">
        <f aca="false">IF(Q65="","",IFERROR(VLOOKUP(Q65,_Cod!$A$2:$E$35,4,0),"Código no válido"))</f>
        <v/>
      </c>
    </row>
    <row r="66" customFormat="false" ht="16.5" hidden="false" customHeight="true" outlineLevel="0" collapsed="false">
      <c r="A66" s="47"/>
      <c r="B66" s="47"/>
      <c r="C66" s="48"/>
      <c r="D66" s="48"/>
      <c r="E66" s="47"/>
      <c r="F66" s="47"/>
      <c r="G66" s="49"/>
      <c r="H66" s="42" t="str">
        <f aca="false">IF(OR(E66=0,G66=0),"",E66*G66)</f>
        <v/>
      </c>
      <c r="J66" s="47"/>
      <c r="K66" s="47"/>
      <c r="L66" s="49"/>
      <c r="M66" s="42" t="str">
        <f aca="false">IF(OR(J66=0,L66=0),"",J66*L66)</f>
        <v/>
      </c>
      <c r="N66" s="43"/>
      <c r="O66" s="44" t="str">
        <f aca="false">IF(M66="","",IFERROR(IF(N66=0,M66,M66*(1-N66)),M66))</f>
        <v/>
      </c>
      <c r="Q66" s="45"/>
      <c r="R66" s="46" t="str">
        <f aca="false">IF(Q66="","",IFERROR(VLOOKUP(Q66,_Cod!$A$2:$E$35,4,0),"Código no válido"))</f>
        <v/>
      </c>
    </row>
    <row r="67" customFormat="false" ht="16.5" hidden="false" customHeight="true" outlineLevel="0" collapsed="false">
      <c r="A67" s="39"/>
      <c r="B67" s="39"/>
      <c r="C67" s="40"/>
      <c r="D67" s="40"/>
      <c r="E67" s="39"/>
      <c r="F67" s="39"/>
      <c r="G67" s="41"/>
      <c r="H67" s="42" t="str">
        <f aca="false">IF(OR(E67=0,G67=0),"",E67*G67)</f>
        <v/>
      </c>
      <c r="J67" s="39"/>
      <c r="K67" s="39"/>
      <c r="L67" s="41"/>
      <c r="M67" s="42" t="str">
        <f aca="false">IF(OR(J67=0,L67=0),"",J67*L67)</f>
        <v/>
      </c>
      <c r="N67" s="43"/>
      <c r="O67" s="44" t="str">
        <f aca="false">IF(M67="","",IFERROR(IF(N67=0,M67,M67*(1-N67)),M67))</f>
        <v/>
      </c>
      <c r="Q67" s="45"/>
      <c r="R67" s="46" t="str">
        <f aca="false">IF(Q67="","",IFERROR(VLOOKUP(Q67,_Cod!$A$2:$E$35,4,0),"Código no válido"))</f>
        <v/>
      </c>
    </row>
    <row r="68" customFormat="false" ht="16.5" hidden="false" customHeight="true" outlineLevel="0" collapsed="false">
      <c r="A68" s="47"/>
      <c r="B68" s="47"/>
      <c r="C68" s="48"/>
      <c r="D68" s="48"/>
      <c r="E68" s="47"/>
      <c r="F68" s="47"/>
      <c r="G68" s="49"/>
      <c r="H68" s="42" t="str">
        <f aca="false">IF(OR(E68=0,G68=0),"",E68*G68)</f>
        <v/>
      </c>
      <c r="J68" s="47"/>
      <c r="K68" s="47"/>
      <c r="L68" s="49"/>
      <c r="M68" s="42" t="str">
        <f aca="false">IF(OR(J68=0,L68=0),"",J68*L68)</f>
        <v/>
      </c>
      <c r="N68" s="43"/>
      <c r="O68" s="44" t="str">
        <f aca="false">IF(M68="","",IFERROR(IF(N68=0,M68,M68*(1-N68)),M68))</f>
        <v/>
      </c>
      <c r="Q68" s="45"/>
      <c r="R68" s="46" t="str">
        <f aca="false">IF(Q68="","",IFERROR(VLOOKUP(Q68,_Cod!$A$2:$E$35,4,0),"Código no válido"))</f>
        <v/>
      </c>
    </row>
    <row r="70" customFormat="false" ht="18.75" hidden="false" customHeight="true" outlineLevel="0" collapsed="false">
      <c r="A70" s="50" t="s">
        <v>172</v>
      </c>
      <c r="B70" s="50"/>
      <c r="C70" s="50"/>
      <c r="D70" s="50"/>
      <c r="E70" s="50"/>
      <c r="F70" s="50"/>
      <c r="G70" s="50"/>
      <c r="H70" s="51" t="n">
        <f aca="false">SUMIF(H19:H68,"&gt;0")</f>
        <v>0</v>
      </c>
      <c r="J70" s="50" t="s">
        <v>172</v>
      </c>
      <c r="K70" s="50"/>
      <c r="L70" s="50"/>
      <c r="M70" s="50"/>
      <c r="N70" s="50"/>
      <c r="O70" s="52" t="n">
        <f aca="false">SUMIF(O19:O68,"&gt;0")</f>
        <v>0</v>
      </c>
    </row>
    <row r="71" customFormat="false" ht="18.75" hidden="false" customHeight="true" outlineLevel="0" collapsed="false">
      <c r="A71" s="50" t="s">
        <v>173</v>
      </c>
      <c r="B71" s="50"/>
      <c r="C71" s="50"/>
      <c r="D71" s="50"/>
      <c r="E71" s="50"/>
      <c r="F71" s="50"/>
      <c r="G71" s="50"/>
      <c r="H71" s="51" t="n">
        <f aca="false">H70*0.25</f>
        <v>0</v>
      </c>
      <c r="J71" s="50" t="s">
        <v>173</v>
      </c>
      <c r="K71" s="50"/>
      <c r="L71" s="50"/>
      <c r="M71" s="50"/>
      <c r="N71" s="50"/>
      <c r="O71" s="52" t="n">
        <f aca="false">O70*0.25</f>
        <v>0</v>
      </c>
    </row>
    <row r="72" customFormat="false" ht="18.75" hidden="false" customHeight="true" outlineLevel="0" collapsed="false">
      <c r="A72" s="53" t="s">
        <v>174</v>
      </c>
      <c r="B72" s="53"/>
      <c r="C72" s="53"/>
      <c r="D72" s="53"/>
      <c r="E72" s="53"/>
      <c r="F72" s="53"/>
      <c r="G72" s="53"/>
      <c r="H72" s="51" t="n">
        <f aca="false">H70+H71</f>
        <v>0</v>
      </c>
      <c r="J72" s="53" t="s">
        <v>174</v>
      </c>
      <c r="K72" s="53"/>
      <c r="L72" s="53"/>
      <c r="M72" s="53"/>
      <c r="N72" s="53"/>
      <c r="O72" s="52" t="n">
        <f aca="false">O70+O71</f>
        <v>0</v>
      </c>
    </row>
    <row r="73" customFormat="false" ht="18.75" hidden="false" customHeight="true" outlineLevel="0" collapsed="false">
      <c r="A73" s="50" t="s">
        <v>175</v>
      </c>
      <c r="B73" s="50"/>
      <c r="C73" s="50"/>
      <c r="D73" s="50"/>
      <c r="E73" s="50"/>
      <c r="F73" s="50"/>
      <c r="G73" s="50"/>
      <c r="H73" s="51" t="n">
        <f aca="false">H72*0.19</f>
        <v>0</v>
      </c>
      <c r="J73" s="50" t="s">
        <v>175</v>
      </c>
      <c r="K73" s="50"/>
      <c r="L73" s="50"/>
      <c r="M73" s="50"/>
      <c r="N73" s="50"/>
      <c r="O73" s="52" t="n">
        <f aca="false">O72*0.19</f>
        <v>0</v>
      </c>
    </row>
    <row r="74" customFormat="false" ht="18.75" hidden="false" customHeight="true" outlineLevel="0" collapsed="false">
      <c r="A74" s="53" t="s">
        <v>176</v>
      </c>
      <c r="B74" s="53"/>
      <c r="C74" s="53"/>
      <c r="D74" s="53"/>
      <c r="E74" s="53"/>
      <c r="F74" s="53"/>
      <c r="G74" s="53"/>
      <c r="H74" s="51" t="n">
        <f aca="false">H72+H73</f>
        <v>0</v>
      </c>
      <c r="J74" s="53" t="s">
        <v>176</v>
      </c>
      <c r="K74" s="53"/>
      <c r="L74" s="53"/>
      <c r="M74" s="53"/>
      <c r="N74" s="53"/>
      <c r="O74" s="52" t="n">
        <f aca="false">O72+O73</f>
        <v>0</v>
      </c>
    </row>
    <row r="75" customFormat="false" ht="18.75" hidden="false" customHeight="true" outlineLevel="0" collapsed="false">
      <c r="A75" s="50" t="s">
        <v>177</v>
      </c>
      <c r="B75" s="50"/>
      <c r="C75" s="50"/>
      <c r="D75" s="50"/>
      <c r="E75" s="50"/>
      <c r="F75" s="50"/>
      <c r="G75" s="50"/>
      <c r="H75" s="54" t="str">
        <f aca="false">IFERROR(IF(N15=0,"",H74/N15),"—")</f>
        <v>—</v>
      </c>
      <c r="J75" s="50" t="s">
        <v>177</v>
      </c>
      <c r="K75" s="50"/>
      <c r="L75" s="50"/>
      <c r="M75" s="50"/>
      <c r="N75" s="50"/>
      <c r="O75" s="55" t="str">
        <f aca="false">IFERROR(IF(N15=0,"",O74/N15),"—")</f>
        <v>—</v>
      </c>
    </row>
    <row r="76" customFormat="false" ht="18.75" hidden="false" customHeight="true" outlineLevel="0" collapsed="false">
      <c r="J76" s="56" t="s">
        <v>178</v>
      </c>
      <c r="K76" s="56"/>
      <c r="L76" s="56"/>
      <c r="M76" s="56"/>
      <c r="N76" s="56"/>
      <c r="O76" s="57"/>
    </row>
    <row r="77" customFormat="false" ht="25.5" hidden="false" customHeight="true" outlineLevel="0" collapsed="false">
      <c r="J77" s="58" t="s">
        <v>179</v>
      </c>
      <c r="K77" s="58"/>
      <c r="L77" s="58"/>
      <c r="M77" s="58"/>
      <c r="N77" s="58"/>
      <c r="O77" s="59" t="str">
        <f aca="false">IFERROR(O75-O76,"—")</f>
        <v>—</v>
      </c>
    </row>
    <row r="79" customFormat="false" ht="13.5" hidden="false" customHeight="true" outlineLevel="0" collapsed="false">
      <c r="A79" s="60" t="s">
        <v>180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</row>
    <row r="80" customFormat="false" ht="19.5" hidden="false" customHeight="true" outlineLevel="0" collapsed="false">
      <c r="A80" s="61" t="s">
        <v>181</v>
      </c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</row>
    <row r="81" customFormat="false" ht="27.75" hidden="false" customHeight="true" outlineLevel="0" collapsed="false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</row>
    <row r="82" customFormat="false" ht="27.75" hidden="false" customHeight="true" outlineLevel="0" collapsed="false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customFormat="false" ht="27.75" hidden="false" customHeight="true" outlineLevel="0" collapsed="false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</row>
    <row r="84" customFormat="false" ht="27.75" hidden="false" customHeight="true" outlineLevel="0" collapsed="false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customFormat="false" ht="27.75" hidden="false" customHeight="true" outlineLevel="0" collapsed="false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</row>
    <row r="86" customFormat="false" ht="27.75" hidden="false" customHeight="true" outlineLevel="0" collapsed="false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8" customFormat="false" ht="4.5" hidden="false" customHeight="true" outlineLevel="0" collapsed="false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customFormat="false" ht="15.75" hidden="false" customHeight="true" outlineLevel="0" collapsed="false">
      <c r="A89" s="62" t="s">
        <v>182</v>
      </c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</row>
  </sheetData>
  <mergeCells count="113">
    <mergeCell ref="A1:I1"/>
    <mergeCell ref="J1:R2"/>
    <mergeCell ref="A2:I2"/>
    <mergeCell ref="J2:R2"/>
    <mergeCell ref="A3:I3"/>
    <mergeCell ref="J3:R3"/>
    <mergeCell ref="A4:I4"/>
    <mergeCell ref="J4:R4"/>
    <mergeCell ref="A5:I5"/>
    <mergeCell ref="J5:R5"/>
    <mergeCell ref="A6:R6"/>
    <mergeCell ref="A7:R7"/>
    <mergeCell ref="A9:B9"/>
    <mergeCell ref="C9:H9"/>
    <mergeCell ref="J9:K9"/>
    <mergeCell ref="L9:R9"/>
    <mergeCell ref="A10:B10"/>
    <mergeCell ref="C10:H10"/>
    <mergeCell ref="J10:K10"/>
    <mergeCell ref="L10:R10"/>
    <mergeCell ref="A11:B11"/>
    <mergeCell ref="C11:H11"/>
    <mergeCell ref="J11:K11"/>
    <mergeCell ref="L11:R11"/>
    <mergeCell ref="A12:B12"/>
    <mergeCell ref="C12:H12"/>
    <mergeCell ref="J12:K12"/>
    <mergeCell ref="L12:R12"/>
    <mergeCell ref="A14:R14"/>
    <mergeCell ref="A15:D15"/>
    <mergeCell ref="E15:G15"/>
    <mergeCell ref="H15:J15"/>
    <mergeCell ref="K15:M15"/>
    <mergeCell ref="N15:P15"/>
    <mergeCell ref="Q15:R15"/>
    <mergeCell ref="A16:R16"/>
    <mergeCell ref="E17:H17"/>
    <mergeCell ref="J17:R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A70:G70"/>
    <mergeCell ref="J70:N70"/>
    <mergeCell ref="A71:G71"/>
    <mergeCell ref="J71:N71"/>
    <mergeCell ref="A72:G72"/>
    <mergeCell ref="J72:N72"/>
    <mergeCell ref="A73:G73"/>
    <mergeCell ref="J73:N73"/>
    <mergeCell ref="A74:G74"/>
    <mergeCell ref="J74:N74"/>
    <mergeCell ref="A75:G75"/>
    <mergeCell ref="J75:N75"/>
    <mergeCell ref="J76:N76"/>
    <mergeCell ref="J77:N77"/>
    <mergeCell ref="A79:R79"/>
    <mergeCell ref="A80:R80"/>
    <mergeCell ref="A81:R81"/>
    <mergeCell ref="A82:R82"/>
    <mergeCell ref="A83:R83"/>
    <mergeCell ref="A84:R84"/>
    <mergeCell ref="A85:R85"/>
    <mergeCell ref="A86:R86"/>
    <mergeCell ref="A88:R88"/>
    <mergeCell ref="A89:R89"/>
  </mergeCells>
  <dataValidations count="1">
    <dataValidation allowBlank="true" error="Use códigos de la Tabla (V1,D2,C3…)" errorStyle="stop" errorTitle="Código inválido" operator="between" prompt="Ingrese código: V1, D1, C2, A3, T1, R2, I1, F3…" promptTitle="Cód. Observación" showDropDown="false" showErrorMessage="true" showInputMessage="true" sqref="Q19:Q68" type="list">
      <formula1>"V1,V2,V3,V4,V5,D1,D2,D3,D4,C1,C2,C3,C4,C5,A1,A2,A3,A4,T1,T2,T3,T4,R1,R2,R3,R4,I1,I2,I3,I4,F1,F2,F3"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75"/>
  </cols>
  <sheetData>
    <row r="1" customFormat="false" ht="15.75" hidden="false" customHeight="true" outlineLevel="0" collapsed="false">
      <c r="A1" s="22"/>
      <c r="B1" s="22"/>
    </row>
    <row r="2" customFormat="false" ht="15.75" hidden="false" customHeight="true" outlineLevel="0" collapsed="false">
      <c r="A2" s="22"/>
      <c r="B2" s="22"/>
    </row>
    <row r="3" customFormat="false" ht="15.75" hidden="false" customHeight="true" outlineLevel="0" collapsed="false">
      <c r="A3" s="22"/>
      <c r="B3" s="22"/>
    </row>
    <row r="4" customFormat="false" ht="15.75" hidden="false" customHeight="true" outlineLevel="0" collapsed="false">
      <c r="A4" s="22"/>
      <c r="B4" s="22"/>
    </row>
    <row r="5" customFormat="false" ht="15.75" hidden="false" customHeight="true" outlineLevel="0" collapsed="false">
      <c r="A5" s="22"/>
      <c r="B5" s="22"/>
    </row>
    <row r="6" customFormat="false" ht="4.5" hidden="false" customHeight="true" outlineLevel="0" collapsed="false">
      <c r="A6" s="25"/>
      <c r="B6" s="25"/>
    </row>
    <row r="7" customFormat="false" ht="24" hidden="false" customHeight="true" outlineLevel="0" collapsed="false">
      <c r="A7" s="26" t="s">
        <v>183</v>
      </c>
      <c r="B7" s="26"/>
    </row>
    <row r="9" customFormat="false" ht="21.75" hidden="false" customHeight="true" outlineLevel="0" collapsed="false">
      <c r="A9" s="63" t="s">
        <v>184</v>
      </c>
      <c r="B9" s="63"/>
    </row>
    <row r="10" customFormat="false" ht="19.5" hidden="false" customHeight="true" outlineLevel="0" collapsed="false">
      <c r="A10" s="20" t="s">
        <v>185</v>
      </c>
      <c r="B10" s="20"/>
    </row>
    <row r="11" customFormat="false" ht="6" hidden="false" customHeight="true" outlineLevel="0" collapsed="false"/>
    <row r="12" customFormat="false" ht="21.75" hidden="false" customHeight="true" outlineLevel="0" collapsed="false">
      <c r="A12" s="63" t="s">
        <v>186</v>
      </c>
      <c r="B12" s="63"/>
    </row>
    <row r="13" customFormat="false" ht="19.5" hidden="false" customHeight="true" outlineLevel="0" collapsed="false">
      <c r="A13" s="21" t="s">
        <v>187</v>
      </c>
      <c r="B13" s="21"/>
    </row>
    <row r="14" customFormat="false" ht="19.5" hidden="false" customHeight="true" outlineLevel="0" collapsed="false">
      <c r="A14" s="20" t="s">
        <v>188</v>
      </c>
      <c r="B14" s="20"/>
    </row>
    <row r="15" customFormat="false" ht="19.5" hidden="false" customHeight="true" outlineLevel="0" collapsed="false">
      <c r="A15" s="21" t="s">
        <v>189</v>
      </c>
      <c r="B15" s="21"/>
    </row>
    <row r="16" customFormat="false" ht="19.5" hidden="false" customHeight="true" outlineLevel="0" collapsed="false">
      <c r="A16" s="20" t="s">
        <v>190</v>
      </c>
      <c r="B16" s="20"/>
    </row>
    <row r="17" customFormat="false" ht="6" hidden="false" customHeight="true" outlineLevel="0" collapsed="false"/>
    <row r="18" customFormat="false" ht="21.75" hidden="false" customHeight="true" outlineLevel="0" collapsed="false">
      <c r="A18" s="63" t="s">
        <v>191</v>
      </c>
      <c r="B18" s="63"/>
    </row>
    <row r="19" customFormat="false" ht="19.5" hidden="false" customHeight="true" outlineLevel="0" collapsed="false">
      <c r="A19" s="21" t="s">
        <v>192</v>
      </c>
      <c r="B19" s="21"/>
    </row>
    <row r="20" customFormat="false" ht="19.5" hidden="false" customHeight="true" outlineLevel="0" collapsed="false">
      <c r="A20" s="20" t="s">
        <v>193</v>
      </c>
      <c r="B20" s="20"/>
    </row>
    <row r="21" customFormat="false" ht="19.5" hidden="false" customHeight="true" outlineLevel="0" collapsed="false">
      <c r="A21" s="21" t="s">
        <v>194</v>
      </c>
      <c r="B21" s="21"/>
    </row>
    <row r="22" customFormat="false" ht="19.5" hidden="false" customHeight="true" outlineLevel="0" collapsed="false">
      <c r="A22" s="20" t="s">
        <v>195</v>
      </c>
      <c r="B22" s="20"/>
    </row>
    <row r="23" customFormat="false" ht="6" hidden="false" customHeight="true" outlineLevel="0" collapsed="false"/>
    <row r="24" customFormat="false" ht="21.75" hidden="false" customHeight="true" outlineLevel="0" collapsed="false">
      <c r="A24" s="63" t="s">
        <v>196</v>
      </c>
      <c r="B24" s="63"/>
    </row>
    <row r="25" customFormat="false" ht="19.5" hidden="false" customHeight="true" outlineLevel="0" collapsed="false">
      <c r="A25" s="21" t="s">
        <v>197</v>
      </c>
      <c r="B25" s="21"/>
    </row>
    <row r="26" customFormat="false" ht="19.5" hidden="false" customHeight="true" outlineLevel="0" collapsed="false">
      <c r="A26" s="20" t="s">
        <v>198</v>
      </c>
      <c r="B26" s="20"/>
    </row>
    <row r="27" customFormat="false" ht="19.5" hidden="false" customHeight="true" outlineLevel="0" collapsed="false">
      <c r="A27" s="21" t="s">
        <v>199</v>
      </c>
      <c r="B27" s="21"/>
    </row>
    <row r="28" customFormat="false" ht="6" hidden="false" customHeight="true" outlineLevel="0" collapsed="false"/>
    <row r="29" customFormat="false" ht="21.75" hidden="false" customHeight="true" outlineLevel="0" collapsed="false">
      <c r="A29" s="63" t="s">
        <v>200</v>
      </c>
      <c r="B29" s="63"/>
    </row>
    <row r="30" customFormat="false" ht="19.5" hidden="false" customHeight="true" outlineLevel="0" collapsed="false">
      <c r="A30" s="20" t="s">
        <v>201</v>
      </c>
      <c r="B30" s="20"/>
    </row>
    <row r="31" customFormat="false" ht="19.5" hidden="false" customHeight="true" outlineLevel="0" collapsed="false">
      <c r="A31" s="21" t="s">
        <v>202</v>
      </c>
      <c r="B31" s="21"/>
    </row>
    <row r="32" customFormat="false" ht="6" hidden="false" customHeight="true" outlineLevel="0" collapsed="false"/>
    <row r="33" customFormat="false" ht="21.75" hidden="false" customHeight="true" outlineLevel="0" collapsed="false">
      <c r="A33" s="63" t="s">
        <v>203</v>
      </c>
      <c r="B33" s="63"/>
    </row>
    <row r="34" customFormat="false" ht="19.5" hidden="false" customHeight="true" outlineLevel="0" collapsed="false">
      <c r="A34" s="20" t="s">
        <v>204</v>
      </c>
      <c r="B34" s="20"/>
    </row>
    <row r="35" customFormat="false" ht="19.5" hidden="false" customHeight="true" outlineLevel="0" collapsed="false">
      <c r="A35" s="21" t="s">
        <v>205</v>
      </c>
      <c r="B35" s="21"/>
    </row>
    <row r="36" customFormat="false" ht="19.5" hidden="false" customHeight="true" outlineLevel="0" collapsed="false">
      <c r="A36" s="20" t="s">
        <v>206</v>
      </c>
      <c r="B36" s="20"/>
    </row>
    <row r="37" customFormat="false" ht="19.5" hidden="false" customHeight="true" outlineLevel="0" collapsed="false">
      <c r="A37" s="21" t="s">
        <v>207</v>
      </c>
      <c r="B37" s="21"/>
    </row>
    <row r="38" customFormat="false" ht="6" hidden="false" customHeight="true" outlineLevel="0" collapsed="false"/>
    <row r="39" customFormat="false" ht="21.75" hidden="false" customHeight="true" outlineLevel="0" collapsed="false">
      <c r="A39" s="63" t="s">
        <v>208</v>
      </c>
      <c r="B39" s="63"/>
    </row>
    <row r="40" customFormat="false" ht="19.5" hidden="false" customHeight="true" outlineLevel="0" collapsed="false">
      <c r="A40" s="20" t="s">
        <v>209</v>
      </c>
      <c r="B40" s="20"/>
    </row>
    <row r="41" customFormat="false" ht="19.5" hidden="false" customHeight="true" outlineLevel="0" collapsed="false">
      <c r="A41" s="21" t="s">
        <v>210</v>
      </c>
      <c r="B41" s="21"/>
    </row>
    <row r="42" customFormat="false" ht="19.5" hidden="false" customHeight="true" outlineLevel="0" collapsed="false">
      <c r="A42" s="20" t="s">
        <v>211</v>
      </c>
      <c r="B42" s="20"/>
    </row>
    <row r="43" customFormat="false" ht="19.5" hidden="false" customHeight="true" outlineLevel="0" collapsed="false">
      <c r="A43" s="21" t="s">
        <v>212</v>
      </c>
      <c r="B43" s="21"/>
    </row>
    <row r="44" customFormat="false" ht="6" hidden="false" customHeight="true" outlineLevel="0" collapsed="false"/>
    <row r="45" customFormat="false" ht="4.5" hidden="false" customHeight="true" outlineLevel="0" collapsed="false">
      <c r="A45" s="25"/>
      <c r="B45" s="25"/>
    </row>
    <row r="46" customFormat="false" ht="15.75" hidden="false" customHeight="true" outlineLevel="0" collapsed="false">
      <c r="A46" s="62" t="s">
        <v>182</v>
      </c>
      <c r="B46" s="62"/>
    </row>
  </sheetData>
  <mergeCells count="38">
    <mergeCell ref="A1:B1"/>
    <mergeCell ref="A2:B2"/>
    <mergeCell ref="A3:B3"/>
    <mergeCell ref="A4:B4"/>
    <mergeCell ref="A5:B5"/>
    <mergeCell ref="A6:B6"/>
    <mergeCell ref="A7:B7"/>
    <mergeCell ref="A9:B9"/>
    <mergeCell ref="A10:B10"/>
    <mergeCell ref="A12:B12"/>
    <mergeCell ref="A13:B13"/>
    <mergeCell ref="A14:B14"/>
    <mergeCell ref="A15:B15"/>
    <mergeCell ref="A16:B16"/>
    <mergeCell ref="A18:B18"/>
    <mergeCell ref="A19:B19"/>
    <mergeCell ref="A20:B20"/>
    <mergeCell ref="A21:B21"/>
    <mergeCell ref="A22:B22"/>
    <mergeCell ref="A24:B24"/>
    <mergeCell ref="A25:B25"/>
    <mergeCell ref="A26:B26"/>
    <mergeCell ref="A27:B27"/>
    <mergeCell ref="A29:B29"/>
    <mergeCell ref="A30:B30"/>
    <mergeCell ref="A31:B31"/>
    <mergeCell ref="A33:B33"/>
    <mergeCell ref="A34:B34"/>
    <mergeCell ref="A35:B35"/>
    <mergeCell ref="A36:B36"/>
    <mergeCell ref="A37:B37"/>
    <mergeCell ref="A39:B39"/>
    <mergeCell ref="A40:B40"/>
    <mergeCell ref="A41:B41"/>
    <mergeCell ref="A42:B42"/>
    <mergeCell ref="A43:B43"/>
    <mergeCell ref="A45:B45"/>
    <mergeCell ref="A46:B4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2026-05-23T00:29:08Z</dcterms:created>
  <dc:creator>openpyxl</dc:creator>
  <dc:description/>
  <dc:language>en-US</dc:language>
  <cp:lastModifiedBy/>
  <dcterms:modified xsi:type="dcterms:W3CDTF">2026-05-23T00:29:09Z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